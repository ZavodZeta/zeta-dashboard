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720" windowHeight="11625" tabRatio="600" firstSheet="0" activeTab="0" autoFilterDateGrouping="1"/>
  </bookViews>
  <sheets>
    <sheet xmlns:r="http://schemas.openxmlformats.org/officeDocument/2006/relationships" name="ABC_Product" sheetId="1" state="visible" r:id="rId1"/>
    <sheet xmlns:r="http://schemas.openxmlformats.org/officeDocument/2006/relationships" name="ABC_XYZ_Prodact" sheetId="2" state="visible" r:id="rId2"/>
    <sheet xmlns:r="http://schemas.openxmlformats.org/officeDocument/2006/relationships" name="БРАК" sheetId="3" state="visible" r:id="rId3"/>
    <sheet xmlns:r="http://schemas.openxmlformats.org/officeDocument/2006/relationships" name="ABC_Clients" sheetId="4" state="visible" r:id="rId4"/>
    <sheet xmlns:r="http://schemas.openxmlformats.org/officeDocument/2006/relationships" name="Ower_Dashboard ABC+Clients" sheetId="5" state="visible" r:id="rId5"/>
    <sheet xmlns:r="http://schemas.openxmlformats.org/officeDocument/2006/relationships" name=" Ower_Dashboard ABC+XYZ" sheetId="6" state="visible" r:id="rId6"/>
    <sheet xmlns:r="http://schemas.openxmlformats.org/officeDocument/2006/relationships" name="ABC_XYZ_Product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90EE90"/>
        <bgColor rgb="0090EE90"/>
      </patternFill>
    </fill>
    <fill>
      <patternFill patternType="solid">
        <fgColor rgb="00FFF59D"/>
        <bgColor rgb="00FFF59D"/>
      </patternFill>
    </fill>
    <fill>
      <patternFill patternType="solid">
        <fgColor rgb="00FFCCCB"/>
        <bgColor rgb="00FFCCCB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1" workbookViewId="0">
      <selection activeCell="H7" sqref="H7"/>
    </sheetView>
  </sheetViews>
  <sheetFormatPr baseColWidth="8" defaultRowHeight="15"/>
  <cols>
    <col width="10" customWidth="1" style="4" min="1" max="1"/>
    <col width="16" customWidth="1" style="4" min="2" max="2"/>
    <col width="13" customWidth="1" style="4" min="3" max="3"/>
    <col width="16" customWidth="1" style="4" min="4" max="4"/>
    <col width="12" customWidth="1" style="4" min="5" max="5"/>
    <col width="17" customWidth="1" style="4" min="6" max="6"/>
    <col width="25.85546875" customWidth="1" style="4" min="7" max="7"/>
    <col width="26.5703125" customWidth="1" style="4" min="8" max="8"/>
    <col width="21.28515625" customWidth="1" style="4" min="9" max="9"/>
    <col width="18" customWidth="1" style="4" min="10" max="10"/>
    <col width="25.28515625" customWidth="1" style="4" min="11" max="11"/>
  </cols>
  <sheetData>
    <row r="1">
      <c r="A1" s="8" t="inlineStr">
        <is>
          <t>ТЕМИРСАК</t>
        </is>
      </c>
    </row>
    <row r="3">
      <c r="A3" t="inlineStr">
        <is>
          <t>с 01.01.2026 - 01.07.2026</t>
        </is>
      </c>
    </row>
    <row r="4">
      <c r="A4" s="3" t="inlineStr">
        <is>
          <t>SKU</t>
        </is>
      </c>
      <c r="B4" s="3" t="inlineStr">
        <is>
          <t>Наименование</t>
        </is>
      </c>
      <c r="C4" s="3" t="inlineStr">
        <is>
          <t>Категория</t>
        </is>
      </c>
      <c r="D4" s="3" t="inlineStr">
        <is>
          <t>Продажи (шт)</t>
        </is>
      </c>
      <c r="E4" s="3" t="inlineStr">
        <is>
          <t>Выручка</t>
        </is>
      </c>
      <c r="F4" s="3" t="inlineStr">
        <is>
          <t>Себестоимость</t>
        </is>
      </c>
      <c r="G4" s="3" t="inlineStr">
        <is>
          <t>Валовая прибыль</t>
        </is>
      </c>
      <c r="H4" s="3" t="inlineStr">
        <is>
          <t>Маржа %</t>
        </is>
      </c>
      <c r="I4" s="3" t="inlineStr">
        <is>
          <t>Доля прибыли %</t>
        </is>
      </c>
      <c r="J4" s="3" t="inlineStr">
        <is>
          <t>Накопительно %</t>
        </is>
      </c>
      <c r="K4" s="3" t="inlineStr">
        <is>
          <t>Категория ABC</t>
        </is>
      </c>
    </row>
    <row r="5">
      <c r="A5" s="2" t="inlineStr">
        <is>
          <t>SKU001</t>
        </is>
      </c>
      <c r="B5" s="2" t="inlineStr">
        <is>
          <t>Диван Loft</t>
        </is>
      </c>
      <c r="C5" s="2" t="inlineStr">
        <is>
          <t>Диваны</t>
        </is>
      </c>
      <c r="D5" s="2" t="n">
        <v>120</v>
      </c>
      <c r="E5" s="2" t="n">
        <v>18000000</v>
      </c>
      <c r="F5" s="2" t="n">
        <v>11500000</v>
      </c>
      <c r="G5" s="2">
        <f>E5-F5</f>
        <v/>
      </c>
      <c r="H5" s="2">
        <f>G5/E5</f>
        <v/>
      </c>
      <c r="I5" s="2">
        <f>G5/$G$13</f>
        <v/>
      </c>
      <c r="J5" s="2">
        <f>I5</f>
        <v/>
      </c>
      <c r="K5" s="2">
        <f>IF(J5&lt;=0.8,"A",IF(J5&lt;=0.95,"B","C"))</f>
        <v/>
      </c>
    </row>
    <row r="6">
      <c r="A6" s="2" t="inlineStr">
        <is>
          <t>SKU002</t>
        </is>
      </c>
      <c r="B6" s="2" t="inlineStr">
        <is>
          <t>Стол Office</t>
        </is>
      </c>
      <c r="C6" s="2" t="inlineStr">
        <is>
          <t>Офис</t>
        </is>
      </c>
      <c r="D6" s="2" t="n">
        <v>85</v>
      </c>
      <c r="E6" s="2" t="n">
        <v>9350000</v>
      </c>
      <c r="F6" s="2" t="n">
        <v>6200000</v>
      </c>
      <c r="G6" s="2">
        <f>E6-F6</f>
        <v/>
      </c>
      <c r="H6" s="2">
        <f>G6/E6</f>
        <v/>
      </c>
      <c r="I6" s="2">
        <f>G6/$G$13</f>
        <v/>
      </c>
      <c r="J6" s="2">
        <f>J5+I6</f>
        <v/>
      </c>
      <c r="K6" s="2">
        <f>IF(J6&lt;=0.8,"A",IF(J6&lt;=0.95,"B","C"))</f>
        <v/>
      </c>
    </row>
    <row r="7">
      <c r="A7" s="2" t="inlineStr">
        <is>
          <t>SKU003</t>
        </is>
      </c>
      <c r="B7" s="2" t="inlineStr">
        <is>
          <t>Кресло Soft</t>
        </is>
      </c>
      <c r="C7" s="2" t="inlineStr">
        <is>
          <t>Кресла</t>
        </is>
      </c>
      <c r="D7" s="2" t="n">
        <v>140</v>
      </c>
      <c r="E7" s="2" t="n">
        <v>7800000</v>
      </c>
      <c r="F7" s="2" t="n">
        <v>5100000</v>
      </c>
      <c r="G7" s="2">
        <f>E7-F7</f>
        <v/>
      </c>
      <c r="H7" s="2">
        <f>G7/E7</f>
        <v/>
      </c>
      <c r="I7" s="2">
        <f>G7/$G$13</f>
        <v/>
      </c>
      <c r="J7" s="2">
        <f>J6+I7</f>
        <v/>
      </c>
      <c r="K7" s="2">
        <f>IF(J7&lt;=0.8,"A",IF(J7&lt;=0.95,"B","C"))</f>
        <v/>
      </c>
    </row>
    <row r="10" ht="45" customHeight="1" s="4">
      <c r="G10" t="inlineStr">
        <is>
          <t>Выручка - Себестоимость</t>
        </is>
      </c>
      <c r="H10" t="inlineStr">
        <is>
          <t>Валовая прибыль / Выручка</t>
        </is>
      </c>
      <c r="I10" s="1" t="inlineStr">
        <is>
          <t>Валовая прибыль SKU / Общая валовая прибыль</t>
        </is>
      </c>
      <c r="J10" s="1" t="inlineStr">
        <is>
          <t>предыдущий % + текущий %</t>
        </is>
      </c>
      <c r="K10" t="inlineStr">
        <is>
          <t>ЕСЛИ(J2&lt;=80%;"A";ЕСЛИ(J2&lt;=95%;"B";"C"))</t>
        </is>
      </c>
    </row>
    <row r="13">
      <c r="G13">
        <f>SUM(G5:G1003)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E4" sqref="E4"/>
    </sheetView>
  </sheetViews>
  <sheetFormatPr baseColWidth="8" defaultRowHeight="15"/>
  <cols>
    <col width="13.140625" customWidth="1" style="4" min="1" max="1"/>
    <col width="15.85546875" customWidth="1" style="4" min="2" max="2"/>
    <col width="17.5703125" customWidth="1" style="4" min="3" max="3"/>
    <col width="14.85546875" customWidth="1" style="4" min="4" max="4"/>
    <col width="18.5703125" customWidth="1" style="4" min="5" max="5"/>
    <col width="18" customWidth="1" style="4" min="6" max="6"/>
    <col width="17.42578125" customWidth="1" style="4" min="7" max="7"/>
    <col width="12.85546875" customWidth="1" style="4" min="8" max="8"/>
    <col width="18.28515625" customWidth="1" style="4" min="15" max="15"/>
    <col width="22.5703125" customWidth="1" style="4" min="16" max="16"/>
    <col width="13.42578125" customWidth="1" style="4" min="17" max="17"/>
    <col width="15.28515625" customWidth="1" style="4" min="18" max="18"/>
    <col width="15" customWidth="1" style="4" min="19" max="19"/>
  </cols>
  <sheetData>
    <row r="1" ht="45" customHeight="1" s="4">
      <c r="A1" s="6" t="inlineStr">
        <is>
          <t>SKU</t>
        </is>
      </c>
      <c r="B1" s="6" t="inlineStr">
        <is>
          <t>Наименование</t>
        </is>
      </c>
      <c r="C1" s="6" t="inlineStr">
        <is>
          <t>Выручка</t>
        </is>
      </c>
      <c r="D1" s="6" t="inlineStr">
        <is>
          <t>Себестоимость</t>
        </is>
      </c>
      <c r="E1" s="6" t="inlineStr">
        <is>
          <t>Валовая прибыль</t>
        </is>
      </c>
      <c r="F1" s="6" t="inlineStr">
        <is>
          <t>Доля прибыли %</t>
        </is>
      </c>
      <c r="G1" s="6" t="inlineStr">
        <is>
          <t>Накопительный %</t>
        </is>
      </c>
      <c r="H1" s="6" t="inlineStr">
        <is>
          <t>ABC</t>
        </is>
      </c>
      <c r="I1" s="6" t="inlineStr">
        <is>
          <t>Jan</t>
        </is>
      </c>
      <c r="J1" s="6" t="inlineStr">
        <is>
          <t>Feb</t>
        </is>
      </c>
      <c r="K1" s="6" t="inlineStr">
        <is>
          <t>Mar</t>
        </is>
      </c>
      <c r="L1" s="6" t="inlineStr">
        <is>
          <t>Apr</t>
        </is>
      </c>
      <c r="M1" s="6" t="inlineStr">
        <is>
          <t>May</t>
        </is>
      </c>
      <c r="N1" s="6" t="inlineStr">
        <is>
          <t>Jun</t>
        </is>
      </c>
      <c r="O1" s="7" t="inlineStr">
        <is>
          <t>Среднее, продается за период</t>
        </is>
      </c>
      <c r="P1" s="7" t="inlineStr">
        <is>
          <t>StdDev (стандартное отклонение)</t>
        </is>
      </c>
      <c r="Q1" s="7" t="inlineStr">
        <is>
          <t>CV (коэфф. вариации)</t>
        </is>
      </c>
      <c r="R1" s="6" t="inlineStr">
        <is>
          <t>XYZ</t>
        </is>
      </c>
      <c r="S1" s="6" t="inlineStr">
        <is>
          <t>Матрица</t>
        </is>
      </c>
    </row>
    <row r="2">
      <c r="A2" s="2" t="inlineStr">
        <is>
          <t>SKU001</t>
        </is>
      </c>
      <c r="B2" s="2" t="inlineStr">
        <is>
          <t>Диван Loft</t>
        </is>
      </c>
      <c r="C2" s="2" t="n">
        <v>18000000</v>
      </c>
      <c r="D2" s="2" t="n">
        <v>11500000</v>
      </c>
      <c r="E2" s="2">
        <f>C2-D2</f>
        <v/>
      </c>
      <c r="F2" s="2">
        <f>E2/$E$10</f>
        <v/>
      </c>
      <c r="G2" s="2">
        <f>F2</f>
        <v/>
      </c>
      <c r="H2" s="2">
        <f>IF(G2&lt;=0.8,"A",IF(G2&lt;=0.95,"B","C"))</f>
        <v/>
      </c>
      <c r="I2" s="2" t="n">
        <v>120</v>
      </c>
      <c r="J2" s="2" t="n">
        <v>118</v>
      </c>
      <c r="K2" s="2" t="n">
        <v>125</v>
      </c>
      <c r="L2" s="2" t="n">
        <v>121</v>
      </c>
      <c r="M2" s="2" t="n">
        <v>119</v>
      </c>
      <c r="N2" s="2" t="n">
        <v>122</v>
      </c>
      <c r="O2" s="2">
        <f>AVERAGE(I2:N2)</f>
        <v/>
      </c>
      <c r="P2" s="2">
        <f>_xludf.STDEV.P(I2:N2)</f>
        <v/>
      </c>
      <c r="Q2" s="2">
        <f>P2/O2</f>
        <v/>
      </c>
      <c r="R2" s="2">
        <f>IF(Q2&lt;=0.1,"X",IF(Q2&lt;=0.25,"Y","Z"))</f>
        <v/>
      </c>
      <c r="S2" s="2">
        <f>H2&amp;R2</f>
        <v/>
      </c>
    </row>
    <row r="3">
      <c r="A3" s="2" t="inlineStr">
        <is>
          <t>SKU002</t>
        </is>
      </c>
      <c r="B3" s="2" t="inlineStr">
        <is>
          <t>Стол Office</t>
        </is>
      </c>
      <c r="C3" s="2" t="n">
        <v>9350000</v>
      </c>
      <c r="D3" s="2" t="n">
        <v>6200000</v>
      </c>
      <c r="E3" s="2">
        <f>C3-D3</f>
        <v/>
      </c>
      <c r="F3" s="2">
        <f>E3/$E$10</f>
        <v/>
      </c>
      <c r="G3" s="2">
        <f>G2+F3</f>
        <v/>
      </c>
      <c r="H3" s="2">
        <f>IF(G3&lt;=0.8,"A",IF(G3&lt;=0.95,"B","C"))</f>
        <v/>
      </c>
      <c r="I3" s="2" t="n">
        <v>80</v>
      </c>
      <c r="J3" s="2" t="n">
        <v>95</v>
      </c>
      <c r="K3" s="2" t="n">
        <v>75</v>
      </c>
      <c r="L3" s="2" t="n">
        <v>90</v>
      </c>
      <c r="M3" s="2" t="n">
        <v>85</v>
      </c>
      <c r="N3" s="2" t="n">
        <v>88</v>
      </c>
      <c r="O3" s="2">
        <f>AVERAGE(I3:N3)</f>
        <v/>
      </c>
      <c r="P3" s="2">
        <f>_xludf.STDEV.P(I3:N3)</f>
        <v/>
      </c>
      <c r="Q3" s="2">
        <f>P3/O3</f>
        <v/>
      </c>
      <c r="R3" s="2">
        <f>IF(Q3&lt;=0.1,"X",IF(Q3&lt;=0.25,"Y","Z"))</f>
        <v/>
      </c>
      <c r="S3" s="2">
        <f>H3&amp;R3</f>
        <v/>
      </c>
    </row>
    <row r="4">
      <c r="A4" s="2" t="inlineStr">
        <is>
          <t>SKU003</t>
        </is>
      </c>
      <c r="B4" s="2" t="inlineStr">
        <is>
          <t>Кресло Soft</t>
        </is>
      </c>
      <c r="C4" s="2" t="n">
        <v>7800000</v>
      </c>
      <c r="D4" s="2" t="n">
        <v>5100000</v>
      </c>
      <c r="E4" s="2">
        <f>C4-D4</f>
        <v/>
      </c>
      <c r="F4" s="2">
        <f>E4/$E$10</f>
        <v/>
      </c>
      <c r="G4" s="2">
        <f>G3+F4</f>
        <v/>
      </c>
      <c r="H4" s="2">
        <f>IF(G4&lt;=0.8,"A",IF(G4&lt;=0.95,"B","C"))</f>
        <v/>
      </c>
      <c r="I4" s="2" t="n">
        <v>40</v>
      </c>
      <c r="J4" s="2" t="n">
        <v>20</v>
      </c>
      <c r="K4" s="2" t="n">
        <v>60</v>
      </c>
      <c r="L4" s="2" t="n">
        <v>30</v>
      </c>
      <c r="M4" s="2" t="n">
        <v>55</v>
      </c>
      <c r="N4" s="2" t="n">
        <v>25</v>
      </c>
      <c r="O4" s="2">
        <f>AVERAGE(I4:N4)</f>
        <v/>
      </c>
      <c r="P4" s="2">
        <f>_xludf.STDEV.P(I4:N4)</f>
        <v/>
      </c>
      <c r="Q4" s="2">
        <f>P4/O4</f>
        <v/>
      </c>
      <c r="R4" s="2">
        <f>IF(Q4&lt;=0.1,"X",IF(Q4&lt;=0.25,"Y","Z"))</f>
        <v/>
      </c>
      <c r="S4" s="2">
        <f>H4&amp;R4</f>
        <v/>
      </c>
    </row>
    <row r="8">
      <c r="A8" s="9" t="inlineStr">
        <is>
          <t>Формулы уже встроены.</t>
        </is>
      </c>
    </row>
    <row r="10">
      <c r="A10" t="inlineStr">
        <is>
          <t>Р - стандартное отклонение - насколько продажи “гуляют” вокруг среднего (насколько спрос нестабилен)</t>
        </is>
      </c>
    </row>
    <row r="12">
      <c r="A12" t="inlineStr">
        <is>
          <t>Как расшифровывать CV</t>
        </is>
      </c>
    </row>
    <row r="14">
      <c r="A14" t="inlineStr">
        <is>
          <t>CV</t>
        </is>
      </c>
      <c r="B14" t="inlineStr">
        <is>
          <t>Категория</t>
        </is>
      </c>
      <c r="C14" t="inlineStr">
        <is>
          <t>Что значит</t>
        </is>
      </c>
    </row>
    <row r="15">
      <c r="A15" t="inlineStr">
        <is>
          <t>0–10%</t>
        </is>
      </c>
      <c r="B15" t="inlineStr">
        <is>
          <t>X</t>
        </is>
      </c>
      <c r="C15" t="inlineStr">
        <is>
          <t>очень стабильный</t>
        </is>
      </c>
    </row>
    <row r="16">
      <c r="A16" t="inlineStr">
        <is>
          <t>10–25%</t>
        </is>
      </c>
      <c r="B16" t="inlineStr">
        <is>
          <t>Y</t>
        </is>
      </c>
      <c r="C16" t="inlineStr">
        <is>
          <t>средняя стабильность</t>
        </is>
      </c>
    </row>
    <row r="17">
      <c r="A17" t="inlineStr">
        <is>
          <t>&gt;25%</t>
        </is>
      </c>
      <c r="B17" t="inlineStr">
        <is>
          <t>Z</t>
        </is>
      </c>
      <c r="C17" t="inlineStr">
        <is>
          <t>хаотичный спрос</t>
        </is>
      </c>
    </row>
    <row r="20" ht="22.5" customHeight="1" s="4">
      <c r="A20" s="5" t="inlineStr">
        <is>
          <t xml:space="preserve">Логика:
</t>
        </is>
      </c>
      <c r="B20" s="10" t="inlineStr">
        <is>
          <t>Высокая прибыль + низкий CV = идеальный товар Это:АХ</t>
        </is>
      </c>
    </row>
  </sheetData>
  <mergeCells count="2">
    <mergeCell ref="B20:S20"/>
    <mergeCell ref="A8:S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D8" sqref="D8"/>
    </sheetView>
  </sheetViews>
  <sheetFormatPr baseColWidth="8" defaultRowHeight="15"/>
  <cols>
    <col width="19" customWidth="1" style="4" min="1" max="1"/>
    <col width="23.7109375" customWidth="1" style="4" min="2" max="2"/>
    <col width="17.28515625" customWidth="1" style="4" min="3" max="3"/>
    <col width="14.42578125" customWidth="1" style="4" min="5" max="5"/>
    <col width="18.5703125" customWidth="1" style="4" min="6" max="6"/>
    <col width="17.7109375" customWidth="1" style="4" min="7" max="7"/>
  </cols>
  <sheetData>
    <row r="1">
      <c r="A1" s="6" t="inlineStr">
        <is>
          <t>SKU</t>
        </is>
      </c>
      <c r="B1" s="6" t="inlineStr">
        <is>
          <t>Наименование</t>
        </is>
      </c>
      <c r="C1" s="6" t="inlineStr">
        <is>
          <t>Продано</t>
        </is>
      </c>
      <c r="D1" s="6" t="inlineStr">
        <is>
          <t>Брак</t>
        </is>
      </c>
      <c r="E1" s="6" t="inlineStr">
        <is>
          <t>Возврат</t>
        </is>
      </c>
      <c r="F1" s="6" t="inlineStr">
        <is>
          <t>% Брака</t>
        </is>
      </c>
      <c r="G1" s="6" t="inlineStr">
        <is>
          <t>% Возврата</t>
        </is>
      </c>
    </row>
    <row r="2">
      <c r="A2" s="2" t="inlineStr">
        <is>
          <t>SKU001</t>
        </is>
      </c>
      <c r="B2" s="2" t="inlineStr">
        <is>
          <t>Диван Loft</t>
        </is>
      </c>
      <c r="C2" s="2" t="n">
        <v>120</v>
      </c>
      <c r="D2" s="2" t="n">
        <v>3</v>
      </c>
      <c r="E2" s="2" t="n">
        <v>2</v>
      </c>
      <c r="F2" s="2" t="n">
        <v>0.025</v>
      </c>
      <c r="G2" s="2" t="n">
        <v>0.01666666666666667</v>
      </c>
    </row>
    <row r="3">
      <c r="A3" s="2" t="inlineStr">
        <is>
          <t>SKU002</t>
        </is>
      </c>
      <c r="B3" s="2" t="inlineStr">
        <is>
          <t>Стол Office</t>
        </is>
      </c>
      <c r="C3" s="2" t="n">
        <v>85</v>
      </c>
      <c r="D3" s="2" t="n">
        <v>5</v>
      </c>
      <c r="E3" s="2" t="n">
        <v>3</v>
      </c>
      <c r="F3" s="2" t="n">
        <v>0.05882352941176471</v>
      </c>
      <c r="G3" s="2" t="n">
        <v>0.03529411764705882</v>
      </c>
    </row>
    <row r="4">
      <c r="A4" s="2" t="inlineStr">
        <is>
          <t>SKU003</t>
        </is>
      </c>
      <c r="B4" s="2" t="inlineStr">
        <is>
          <t>Кресло Soft</t>
        </is>
      </c>
      <c r="C4" s="2" t="n">
        <v>140</v>
      </c>
      <c r="D4" s="2" t="n">
        <v>8</v>
      </c>
      <c r="E4" s="2" t="n">
        <v>6</v>
      </c>
      <c r="F4" s="2" t="n">
        <v>0.05714285714285714</v>
      </c>
      <c r="G4" s="2" t="n">
        <v>0.04285714285714286</v>
      </c>
    </row>
    <row r="9">
      <c r="A9" s="9" t="inlineStr">
        <is>
          <t>Формулы уже встроены.</t>
        </is>
      </c>
    </row>
  </sheetData>
  <mergeCells count="1">
    <mergeCell ref="A9:G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4" sqref="A4"/>
    </sheetView>
  </sheetViews>
  <sheetFormatPr baseColWidth="8" defaultRowHeight="15"/>
  <cols>
    <col width="12" customWidth="1" style="4" min="1" max="1"/>
    <col width="11" customWidth="1" style="4" min="2" max="2"/>
    <col width="18" customWidth="1" style="4" min="3" max="3"/>
    <col width="12" customWidth="1" style="4" min="4" max="4"/>
    <col width="17" customWidth="1" style="4" min="5" max="5"/>
    <col width="19" customWidth="1" style="4" min="6" max="6"/>
    <col width="11" customWidth="1" style="4" min="7" max="7"/>
    <col width="13" customWidth="1" style="4" min="8" max="8"/>
    <col width="18.7109375" customWidth="1" style="4" min="9" max="9"/>
    <col width="18" customWidth="1" style="4" min="10" max="11"/>
    <col width="30" customWidth="1" style="4" min="12" max="12"/>
  </cols>
  <sheetData>
    <row r="1">
      <c r="A1" s="6" t="inlineStr">
        <is>
          <t>Клиент</t>
        </is>
      </c>
      <c r="B1" s="6" t="inlineStr">
        <is>
          <t>Канал</t>
        </is>
      </c>
      <c r="C1" s="6" t="inlineStr">
        <is>
          <t>Кол-во заказов</t>
        </is>
      </c>
      <c r="D1" s="6" t="inlineStr">
        <is>
          <t>Выручка</t>
        </is>
      </c>
      <c r="E1" s="6" t="inlineStr">
        <is>
          <t>Себестоимость</t>
        </is>
      </c>
      <c r="F1" s="6" t="inlineStr">
        <is>
          <t>Валовая прибыль</t>
        </is>
      </c>
      <c r="G1" s="6" t="inlineStr">
        <is>
          <t>Маржа %</t>
        </is>
      </c>
      <c r="H1" s="6" t="inlineStr">
        <is>
          <t>Дебиторка</t>
        </is>
      </c>
      <c r="I1" s="6" t="inlineStr">
        <is>
          <t>Средний чек</t>
        </is>
      </c>
      <c r="J1" s="6" t="inlineStr">
        <is>
          <t>Доля прибыли %</t>
        </is>
      </c>
      <c r="K1" s="6" t="inlineStr">
        <is>
          <t>Накопительно %</t>
        </is>
      </c>
      <c r="L1" s="6" t="inlineStr">
        <is>
          <t>Категория ABC</t>
        </is>
      </c>
    </row>
    <row r="2">
      <c r="A2" s="2" t="inlineStr">
        <is>
          <t>Клиент A</t>
        </is>
      </c>
      <c r="B2" s="2" t="inlineStr">
        <is>
          <t>Опт</t>
        </is>
      </c>
      <c r="C2" s="2" t="n">
        <v>24</v>
      </c>
      <c r="D2" s="2" t="n">
        <v>35000000</v>
      </c>
      <c r="E2" s="2" t="n">
        <v>24000000</v>
      </c>
      <c r="F2" s="2" t="n">
        <v>11000000</v>
      </c>
      <c r="G2" s="2">
        <f>F2/D2</f>
        <v/>
      </c>
      <c r="H2" s="2" t="n">
        <v>2500000</v>
      </c>
      <c r="I2" s="2">
        <f>D2/C2</f>
        <v/>
      </c>
      <c r="J2" s="2">
        <f>F2/$F$10</f>
        <v/>
      </c>
      <c r="K2" s="2">
        <f>J2</f>
        <v/>
      </c>
      <c r="L2" s="2">
        <f>IF(K2&lt;=0.8,"A",IF(K2&lt;=0.95,"B","C"))</f>
        <v/>
      </c>
    </row>
    <row r="3">
      <c r="A3" s="2" t="inlineStr">
        <is>
          <t>Клиент B</t>
        </is>
      </c>
      <c r="B3" s="2" t="inlineStr">
        <is>
          <t>Магазин</t>
        </is>
      </c>
      <c r="C3" s="2" t="n">
        <v>18</v>
      </c>
      <c r="D3" s="2" t="n">
        <v>17000000</v>
      </c>
      <c r="E3" s="2" t="n">
        <v>11200000</v>
      </c>
      <c r="F3" s="2" t="n">
        <v>5800000</v>
      </c>
      <c r="G3" s="2">
        <f>F3/D3</f>
        <v/>
      </c>
      <c r="H3" s="2" t="n">
        <v>800000</v>
      </c>
      <c r="I3" s="2">
        <f>D3/C3</f>
        <v/>
      </c>
      <c r="J3" s="2">
        <f>F3/$F$10</f>
        <v/>
      </c>
      <c r="K3" s="2">
        <f>K2+J3</f>
        <v/>
      </c>
      <c r="L3" s="2">
        <f>IF(K3&lt;=0.8,"A",IF(K3&lt;=0.95,"B","C"))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F5" t="inlineStr">
        <is>
          <t>D2-E2</t>
        </is>
      </c>
      <c r="G5" t="inlineStr">
        <is>
          <t>F2/D2</t>
        </is>
      </c>
      <c r="I5" t="inlineStr">
        <is>
          <t>D2/C2</t>
        </is>
      </c>
      <c r="J5" t="inlineStr">
        <is>
          <t>F2/$F$1000</t>
        </is>
      </c>
      <c r="K5" t="inlineStr">
        <is>
          <t>J2</t>
        </is>
      </c>
      <c r="L5" t="inlineStr">
        <is>
          <t>IF(K2&lt;=0.8,"A",IF(K2&lt;=0.95,"B","C"))</t>
        </is>
      </c>
    </row>
    <row r="6">
      <c r="K6" t="inlineStr">
        <is>
          <t>след:</t>
        </is>
      </c>
    </row>
    <row r="7">
      <c r="K7" t="inlineStr">
        <is>
          <t>K2+J3</t>
        </is>
      </c>
    </row>
    <row r="10">
      <c r="F10">
        <f>SUM(F2:F1000)</f>
        <v/>
      </c>
    </row>
    <row r="11">
      <c r="A11" t="inlineStr">
        <is>
          <t>Перед расчетом обязательно:
сортировка по столбцу F (Валовая прибыль) от большего к меньшему
Иначе ABC будет неверный.</t>
        </is>
      </c>
    </row>
    <row r="14">
      <c r="A14" t="inlineStr">
        <is>
          <t>Логика:
A = первые 80% прибыли
B = до 95%
C = всё остальное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0" sqref="A10"/>
    </sheetView>
  </sheetViews>
  <sheetFormatPr baseColWidth="8" defaultRowHeight="15"/>
  <cols>
    <col width="42.7109375" customWidth="1" style="4" min="1" max="1"/>
    <col width="44.85546875" customWidth="1" style="4" min="2" max="2"/>
  </cols>
  <sheetData>
    <row r="1">
      <c r="A1" s="2" t="inlineStr">
        <is>
          <t>Метрика</t>
        </is>
      </c>
      <c r="B1" s="2" t="inlineStr">
        <is>
          <t>Описание</t>
        </is>
      </c>
    </row>
    <row r="2">
      <c r="A2" s="2" t="inlineStr">
        <is>
          <t>Топ 20 SKU</t>
        </is>
      </c>
      <c r="B2" s="2" t="inlineStr">
        <is>
          <t>80% прибыли</t>
        </is>
      </c>
    </row>
    <row r="3">
      <c r="A3" s="2" t="inlineStr">
        <is>
          <t>Топ 10 клиентов</t>
        </is>
      </c>
      <c r="B3" s="2" t="inlineStr">
        <is>
          <t>80% прибыли</t>
        </is>
      </c>
    </row>
    <row r="4">
      <c r="A4" s="2" t="inlineStr">
        <is>
          <t>Dead Stock</t>
        </is>
      </c>
      <c r="B4" s="2" t="inlineStr">
        <is>
          <t>&gt;90 дней</t>
        </is>
      </c>
    </row>
    <row r="5">
      <c r="A5" s="2" t="inlineStr">
        <is>
          <t>Убыточные SKU</t>
        </is>
      </c>
      <c r="B5" s="2" t="inlineStr">
        <is>
          <t>Profit &lt; 0</t>
        </is>
      </c>
    </row>
    <row r="6">
      <c r="A6" s="2" t="inlineStr">
        <is>
          <t>Убыточные клиенты</t>
        </is>
      </c>
      <c r="B6" s="2" t="inlineStr">
        <is>
          <t>Net Profit &lt; 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D6" sqref="D6"/>
    </sheetView>
  </sheetViews>
  <sheetFormatPr baseColWidth="8" defaultRowHeight="15"/>
  <cols>
    <col width="16.42578125" customWidth="1" style="4" min="1" max="1"/>
    <col width="14" customWidth="1" style="4" min="2" max="2"/>
    <col width="11.85546875" customWidth="1" style="4" min="3" max="3"/>
    <col width="15.85546875" customWidth="1" style="4" min="4" max="4"/>
    <col width="12.42578125" customWidth="1" style="4" min="5" max="5"/>
    <col width="11.85546875" customWidth="1" style="4" min="6" max="6"/>
    <col width="17.42578125" customWidth="1" style="4" min="7" max="7"/>
  </cols>
  <sheetData>
    <row r="1">
      <c r="A1" s="6" t="inlineStr">
        <is>
          <t>SKU</t>
        </is>
      </c>
      <c r="B1" s="6" t="inlineStr">
        <is>
          <t>ABC</t>
        </is>
      </c>
      <c r="C1" s="6" t="inlineStr">
        <is>
          <t>XYZ</t>
        </is>
      </c>
      <c r="D1" s="6" t="inlineStr">
        <is>
          <t>Матрица</t>
        </is>
      </c>
      <c r="E1" s="6" t="inlineStr">
        <is>
          <t>% Брака</t>
        </is>
      </c>
      <c r="F1" s="6" t="inlineStr">
        <is>
          <t>Маржа</t>
        </is>
      </c>
      <c r="G1" s="6" t="inlineStr">
        <is>
          <t>Решение</t>
        </is>
      </c>
    </row>
    <row r="2">
      <c r="A2" s="2" t="inlineStr">
        <is>
          <t>SKU001</t>
        </is>
      </c>
      <c r="B2" s="2" t="inlineStr">
        <is>
          <t>A</t>
        </is>
      </c>
      <c r="C2" s="2" t="inlineStr">
        <is>
          <t>X</t>
        </is>
      </c>
      <c r="D2" s="2" t="inlineStr">
        <is>
          <t>AX</t>
        </is>
      </c>
      <c r="E2" s="2" t="inlineStr">
        <is>
          <t>2%</t>
        </is>
      </c>
      <c r="F2" s="2" t="inlineStr">
        <is>
          <t>35%</t>
        </is>
      </c>
      <c r="G2" s="2" t="inlineStr">
        <is>
          <t>Держать</t>
        </is>
      </c>
    </row>
    <row r="3">
      <c r="A3" s="2" t="inlineStr">
        <is>
          <t>SKU002</t>
        </is>
      </c>
      <c r="B3" s="2" t="inlineStr">
        <is>
          <t>A</t>
        </is>
      </c>
      <c r="C3" s="2" t="inlineStr">
        <is>
          <t>Z</t>
        </is>
      </c>
      <c r="D3" s="2" t="inlineStr">
        <is>
          <t>AZ</t>
        </is>
      </c>
      <c r="E3" s="2" t="inlineStr">
        <is>
          <t>8%</t>
        </is>
      </c>
      <c r="F3" s="2" t="inlineStr">
        <is>
          <t>32%</t>
        </is>
      </c>
      <c r="G3" s="2" t="inlineStr">
        <is>
          <t>Наблюдать</t>
        </is>
      </c>
    </row>
    <row r="4">
      <c r="A4" s="2" t="inlineStr">
        <is>
          <t>SKU003</t>
        </is>
      </c>
      <c r="B4" s="2" t="inlineStr">
        <is>
          <t>C</t>
        </is>
      </c>
      <c r="C4" s="2" t="inlineStr">
        <is>
          <t>Z</t>
        </is>
      </c>
      <c r="D4" s="2" t="inlineStr">
        <is>
          <t>CZ</t>
        </is>
      </c>
      <c r="E4" s="2" t="inlineStr">
        <is>
          <t>12%</t>
        </is>
      </c>
      <c r="F4" s="2" t="inlineStr">
        <is>
          <t>8%</t>
        </is>
      </c>
      <c r="G4" s="2" t="inlineStr">
        <is>
          <t>Удалять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Товар</t>
        </is>
      </c>
      <c r="B1" t="inlineStr">
        <is>
          <t>Количество</t>
        </is>
      </c>
      <c r="C1" t="inlineStr">
        <is>
          <t>Выручка</t>
        </is>
      </c>
      <c r="D1" t="inlineStr">
        <is>
          <t>Доля</t>
        </is>
      </c>
      <c r="E1" t="inlineStr">
        <is>
          <t>Накопит.</t>
        </is>
      </c>
      <c r="F1" t="inlineStr">
        <is>
          <t>ABC</t>
        </is>
      </c>
      <c r="G1" t="inlineStr">
        <is>
          <t>XYZ</t>
        </is>
      </c>
      <c r="H1" t="inlineStr">
        <is>
          <t>Категория</t>
        </is>
      </c>
    </row>
    <row r="2">
      <c r="A2" s="11" t="inlineStr">
        <is>
          <t>Стул СМ 7 м/п Гобелен/Кзам multi color</t>
        </is>
      </c>
      <c r="B2" s="11" t="n">
        <v>3187</v>
      </c>
      <c r="C2" s="11" t="n">
        <v>17906185</v>
      </c>
      <c r="D2" s="11" t="n">
        <v>0.03744692990980147</v>
      </c>
      <c r="E2" s="11" t="n">
        <v>0.03744692990980147</v>
      </c>
      <c r="F2" s="11" t="inlineStr">
        <is>
          <t>A</t>
        </is>
      </c>
      <c r="G2" s="11" t="inlineStr">
        <is>
          <t>X</t>
        </is>
      </c>
      <c r="H2" s="11" t="inlineStr">
        <is>
          <t>AX</t>
        </is>
      </c>
    </row>
    <row r="3">
      <c r="A3" s="11" t="inlineStr">
        <is>
          <t>Стул Фаиза м/п Гобелен/Кзам</t>
        </is>
      </c>
      <c r="B3" s="11" t="n">
        <v>2606</v>
      </c>
      <c r="C3" s="11" t="n">
        <v>15468920</v>
      </c>
      <c r="D3" s="11" t="n">
        <v>0.03234991501653346</v>
      </c>
      <c r="E3" s="11" t="n">
        <v>0.06979684492633494</v>
      </c>
      <c r="F3" s="11" t="inlineStr">
        <is>
          <t>A</t>
        </is>
      </c>
      <c r="G3" s="11" t="inlineStr">
        <is>
          <t>X</t>
        </is>
      </c>
      <c r="H3" s="11" t="inlineStr">
        <is>
          <t>AX</t>
        </is>
      </c>
    </row>
    <row r="4">
      <c r="A4" s="11" t="inlineStr">
        <is>
          <t>Стул СМ 6 м/п Гобелен/Кзам Multicolor</t>
        </is>
      </c>
      <c r="B4" s="11" t="n">
        <v>2673</v>
      </c>
      <c r="C4" s="11" t="n">
        <v>14729470</v>
      </c>
      <c r="D4" s="11" t="n">
        <v>0.03080351457881864</v>
      </c>
      <c r="E4" s="11" t="n">
        <v>0.1006003595051536</v>
      </c>
      <c r="F4" s="11" t="inlineStr">
        <is>
          <t>A</t>
        </is>
      </c>
      <c r="G4" s="11" t="inlineStr">
        <is>
          <t>X</t>
        </is>
      </c>
      <c r="H4" s="11" t="inlineStr">
        <is>
          <t>AX</t>
        </is>
      </c>
    </row>
    <row r="5">
      <c r="A5" s="11" t="inlineStr">
        <is>
          <t>Стул СМ 7 м/п каркас чёрный/гобелен 11К (чёрный)</t>
        </is>
      </c>
      <c r="B5" s="11" t="n">
        <v>2518</v>
      </c>
      <c r="C5" s="11" t="n">
        <v>14134930</v>
      </c>
      <c r="D5" s="11" t="n">
        <v>0.02956016220037658</v>
      </c>
      <c r="E5" s="11" t="n">
        <v>0.1301605217055302</v>
      </c>
      <c r="F5" s="11" t="inlineStr">
        <is>
          <t>A</t>
        </is>
      </c>
      <c r="G5" s="11" t="inlineStr">
        <is>
          <t>X</t>
        </is>
      </c>
      <c r="H5" s="11" t="inlineStr">
        <is>
          <t>AX</t>
        </is>
      </c>
    </row>
    <row r="6">
      <c r="A6" s="11" t="inlineStr">
        <is>
          <t>Кресло Мажор Эконом гобелен,кзам подл.пл.Сенатор с м.эл.,крест.пл., ДДС, кол JL черный</t>
        </is>
      </c>
      <c r="B6" s="11" t="n">
        <v>342</v>
      </c>
      <c r="C6" s="11" t="n">
        <v>12764225</v>
      </c>
      <c r="D6" s="11" t="n">
        <v>0.02669362786813248</v>
      </c>
      <c r="E6" s="11" t="n">
        <v>0.1568541495736626</v>
      </c>
      <c r="F6" s="11" t="inlineStr">
        <is>
          <t>A</t>
        </is>
      </c>
      <c r="G6" s="11" t="inlineStr">
        <is>
          <t>X</t>
        </is>
      </c>
      <c r="H6" s="11" t="inlineStr">
        <is>
          <t>AX</t>
        </is>
      </c>
    </row>
    <row r="7">
      <c r="A7" s="11" t="inlineStr">
        <is>
          <t>Диван Сандра "3" кзам PU/гоб.stock (Комфорт)</t>
        </is>
      </c>
      <c r="B7" s="11" t="n">
        <v>189</v>
      </c>
      <c r="C7" s="11" t="n">
        <v>11454345</v>
      </c>
      <c r="D7" s="11" t="n">
        <v>0.02395429592499379</v>
      </c>
      <c r="E7" s="11" t="n">
        <v>0.1808084454986564</v>
      </c>
      <c r="F7" s="11" t="inlineStr">
        <is>
          <t>A</t>
        </is>
      </c>
      <c r="G7" s="11" t="inlineStr">
        <is>
          <t>Y</t>
        </is>
      </c>
      <c r="H7" s="11" t="inlineStr">
        <is>
          <t>AY</t>
        </is>
      </c>
    </row>
    <row r="8">
      <c r="A8" s="11" t="inlineStr">
        <is>
          <t>Стеллаж широкий Кул-123 800*350*2000 Н стандартные цвета</t>
        </is>
      </c>
      <c r="B8" s="11" t="n">
        <v>439</v>
      </c>
      <c r="C8" s="11" t="n">
        <v>11370920</v>
      </c>
      <c r="D8" s="11" t="n">
        <v>0.02377983050269836</v>
      </c>
      <c r="E8" s="11" t="n">
        <v>0.2045882760013548</v>
      </c>
      <c r="F8" s="11" t="inlineStr">
        <is>
          <t>A</t>
        </is>
      </c>
      <c r="G8" s="11" t="inlineStr">
        <is>
          <t>X</t>
        </is>
      </c>
      <c r="H8" s="11" t="inlineStr">
        <is>
          <t>AX</t>
        </is>
      </c>
    </row>
    <row r="9">
      <c r="A9" s="11" t="inlineStr">
        <is>
          <t>Стул СМ 7 м/п каркас чёрный/гобелен 17М (серый)</t>
        </is>
      </c>
      <c r="B9" s="11" t="n">
        <v>1815</v>
      </c>
      <c r="C9" s="11" t="n">
        <v>10215505</v>
      </c>
      <c r="D9" s="11" t="n">
        <v>0.02136352884370549</v>
      </c>
      <c r="E9" s="11" t="n">
        <v>0.2259518048450603</v>
      </c>
      <c r="F9" s="11" t="inlineStr">
        <is>
          <t>A</t>
        </is>
      </c>
      <c r="G9" s="11" t="inlineStr">
        <is>
          <t>X</t>
        </is>
      </c>
      <c r="H9" s="11" t="inlineStr">
        <is>
          <t>AX</t>
        </is>
      </c>
    </row>
    <row r="10">
      <c r="A10" s="11" t="inlineStr">
        <is>
          <t>Стол однотумбовый с ящиками Кул-107 1200*600*750 Н стандартные цвета</t>
        </is>
      </c>
      <c r="B10" s="11" t="n">
        <v>456</v>
      </c>
      <c r="C10" s="11" t="n">
        <v>10002360</v>
      </c>
      <c r="D10" s="11" t="n">
        <v>0.02091778197603799</v>
      </c>
      <c r="E10" s="11" t="n">
        <v>0.2468695868210983</v>
      </c>
      <c r="F10" s="11" t="inlineStr">
        <is>
          <t>A</t>
        </is>
      </c>
      <c r="G10" s="11" t="inlineStr">
        <is>
          <t>X</t>
        </is>
      </c>
      <c r="H10" s="11" t="inlineStr">
        <is>
          <t>AX</t>
        </is>
      </c>
    </row>
    <row r="11">
      <c r="A11" s="11" t="inlineStr">
        <is>
          <t>Скамья Рахат кзам</t>
        </is>
      </c>
      <c r="B11" s="11" t="n">
        <v>245</v>
      </c>
      <c r="C11" s="11" t="n">
        <v>9011040</v>
      </c>
      <c r="D11" s="11" t="n">
        <v>0.01884464967241305</v>
      </c>
      <c r="E11" s="11" t="n">
        <v>0.2657142364935113</v>
      </c>
      <c r="F11" s="11" t="inlineStr">
        <is>
          <t>A</t>
        </is>
      </c>
      <c r="G11" s="11" t="inlineStr">
        <is>
          <t>Y</t>
        </is>
      </c>
      <c r="H11" s="11" t="inlineStr">
        <is>
          <t>AY</t>
        </is>
      </c>
    </row>
    <row r="12">
      <c r="A12" s="11" t="inlineStr">
        <is>
          <t>Стул Альфа барный (многополосн) Гобелен/Кзам</t>
        </is>
      </c>
      <c r="B12" s="11" t="n">
        <v>771</v>
      </c>
      <c r="C12" s="11" t="n">
        <v>8963025</v>
      </c>
      <c r="D12" s="11" t="n">
        <v>0.01874423663973082</v>
      </c>
      <c r="E12" s="11" t="n">
        <v>0.2844584731332421</v>
      </c>
      <c r="F12" s="11" t="inlineStr">
        <is>
          <t>A</t>
        </is>
      </c>
      <c r="G12" s="11" t="inlineStr">
        <is>
          <t>X</t>
        </is>
      </c>
      <c r="H12" s="11" t="inlineStr">
        <is>
          <t>AX</t>
        </is>
      </c>
    </row>
    <row r="13">
      <c r="A13" s="11" t="inlineStr">
        <is>
          <t>Стул СМ 6 м/п каркас чёрный/гобелен 17М (серый)</t>
        </is>
      </c>
      <c r="B13" s="11" t="n">
        <v>1505</v>
      </c>
      <c r="C13" s="11" t="n">
        <v>8342983</v>
      </c>
      <c r="D13" s="11" t="n">
        <v>0.01744755232003161</v>
      </c>
      <c r="E13" s="11" t="n">
        <v>0.3019060254532737</v>
      </c>
      <c r="F13" s="11" t="inlineStr">
        <is>
          <t>A</t>
        </is>
      </c>
      <c r="G13" s="11" t="inlineStr">
        <is>
          <t>X</t>
        </is>
      </c>
      <c r="H13" s="11" t="inlineStr">
        <is>
          <t>AX</t>
        </is>
      </c>
    </row>
    <row r="14">
      <c r="A14" s="11" t="inlineStr">
        <is>
          <t>Стул пласт. Маверик  белый</t>
        </is>
      </c>
      <c r="B14" s="11" t="n">
        <v>1485</v>
      </c>
      <c r="C14" s="11" t="n">
        <v>8281140</v>
      </c>
      <c r="D14" s="11" t="n">
        <v>0.01731822100314798</v>
      </c>
      <c r="E14" s="11" t="n">
        <v>0.3192242464564217</v>
      </c>
      <c r="F14" s="11" t="inlineStr">
        <is>
          <t>A</t>
        </is>
      </c>
      <c r="G14" s="11" t="inlineStr">
        <is>
          <t>X</t>
        </is>
      </c>
      <c r="H14" s="11" t="inlineStr">
        <is>
          <t>AX</t>
        </is>
      </c>
    </row>
    <row r="15">
      <c r="A15" s="11" t="inlineStr">
        <is>
          <t>Стул СМ 6 м/п каркас чёрный/гобелен 11К (чёрный)</t>
        </is>
      </c>
      <c r="B15" s="11" t="n">
        <v>1504</v>
      </c>
      <c r="C15" s="11" t="n">
        <v>8260570</v>
      </c>
      <c r="D15" s="11" t="n">
        <v>0.01727520327780645</v>
      </c>
      <c r="E15" s="11" t="n">
        <v>0.3364994497342282</v>
      </c>
      <c r="F15" s="11" t="inlineStr">
        <is>
          <t>A</t>
        </is>
      </c>
      <c r="G15" s="11" t="inlineStr">
        <is>
          <t>X</t>
        </is>
      </c>
      <c r="H15" s="11" t="inlineStr">
        <is>
          <t>AX</t>
        </is>
      </c>
    </row>
    <row r="16">
      <c r="A16" s="11" t="inlineStr">
        <is>
          <t>Диван Орион "3" кзам PU/гоб.stock (Комфорт)</t>
        </is>
      </c>
      <c r="B16" s="11" t="n">
        <v>87</v>
      </c>
      <c r="C16" s="11" t="n">
        <v>8256595</v>
      </c>
      <c r="D16" s="11" t="n">
        <v>0.01726689042130512</v>
      </c>
      <c r="E16" s="11" t="n">
        <v>0.3537663401555333</v>
      </c>
      <c r="F16" s="11" t="inlineStr">
        <is>
          <t>A</t>
        </is>
      </c>
      <c r="G16" s="11" t="inlineStr">
        <is>
          <t>Z</t>
        </is>
      </c>
      <c r="H16" s="11" t="inlineStr">
        <is>
          <t>AZ</t>
        </is>
      </c>
    </row>
    <row r="17">
      <c r="A17" s="11" t="inlineStr">
        <is>
          <t>Стул Расмус м/п Гобелен/Кзам</t>
        </is>
      </c>
      <c r="B17" s="11" t="n">
        <v>1028</v>
      </c>
      <c r="C17" s="11" t="n">
        <v>8064320</v>
      </c>
      <c r="D17" s="11" t="n">
        <v>0.01686478866437548</v>
      </c>
      <c r="E17" s="11" t="n">
        <v>0.3706311288199088</v>
      </c>
      <c r="F17" s="11" t="inlineStr">
        <is>
          <t>A</t>
        </is>
      </c>
      <c r="G17" s="11" t="inlineStr">
        <is>
          <t>X</t>
        </is>
      </c>
      <c r="H17" s="11" t="inlineStr">
        <is>
          <t>AX</t>
        </is>
      </c>
    </row>
    <row r="18">
      <c r="A18" s="11" t="inlineStr">
        <is>
          <t>Шкаф для одежды Кул-125 700*500*2000 Н стандартные цвета</t>
        </is>
      </c>
      <c r="B18" s="11" t="n">
        <v>249</v>
      </c>
      <c r="C18" s="11" t="n">
        <v>7416465</v>
      </c>
      <c r="D18" s="11" t="n">
        <v>0.01550993944458274</v>
      </c>
      <c r="E18" s="11" t="n">
        <v>0.3861410682644915</v>
      </c>
      <c r="F18" s="11" t="inlineStr">
        <is>
          <t>A</t>
        </is>
      </c>
      <c r="G18" s="11" t="inlineStr">
        <is>
          <t>X</t>
        </is>
      </c>
      <c r="H18" s="11" t="inlineStr">
        <is>
          <t>AX</t>
        </is>
      </c>
    </row>
    <row r="19">
      <c r="A19" s="11" t="inlineStr">
        <is>
          <t>Стул Изо цв.каркас Гобелен/Кзам Multicolor</t>
        </is>
      </c>
      <c r="B19" s="11" t="n">
        <v>859</v>
      </c>
      <c r="C19" s="11" t="n">
        <v>7188800</v>
      </c>
      <c r="D19" s="11" t="n">
        <v>0.01503382712373299</v>
      </c>
      <c r="E19" s="11" t="n">
        <v>0.4011748953882245</v>
      </c>
      <c r="F19" s="11" t="inlineStr">
        <is>
          <t>A</t>
        </is>
      </c>
      <c r="G19" s="11" t="inlineStr">
        <is>
          <t>X</t>
        </is>
      </c>
      <c r="H19" s="11" t="inlineStr">
        <is>
          <t>AX</t>
        </is>
      </c>
    </row>
    <row r="20">
      <c r="A20" s="11" t="inlineStr">
        <is>
          <t>Стул Моцарт цв.каркас Гобелен/Кзам</t>
        </is>
      </c>
      <c r="B20" s="11" t="n">
        <v>1309</v>
      </c>
      <c r="C20" s="11" t="n">
        <v>7028460</v>
      </c>
      <c r="D20" s="11" t="n">
        <v>0.01469851054224243</v>
      </c>
      <c r="E20" s="11" t="n">
        <v>0.4158734059304669</v>
      </c>
      <c r="F20" s="11" t="inlineStr">
        <is>
          <t>A</t>
        </is>
      </c>
      <c r="G20" s="11" t="inlineStr">
        <is>
          <t>X</t>
        </is>
      </c>
      <c r="H20" s="11" t="inlineStr">
        <is>
          <t>AX</t>
        </is>
      </c>
    </row>
    <row r="21">
      <c r="A21" s="11" t="inlineStr">
        <is>
          <t>Стол однотумбовый с дверцей Кул-106 1200*600*750 Н стандартные цвета</t>
        </is>
      </c>
      <c r="B21" s="11" t="n">
        <v>347</v>
      </c>
      <c r="C21" s="11" t="n">
        <v>6544420</v>
      </c>
      <c r="D21" s="11" t="n">
        <v>0.01368624511811438</v>
      </c>
      <c r="E21" s="11" t="n">
        <v>0.4295596510485813</v>
      </c>
      <c r="F21" s="11" t="inlineStr">
        <is>
          <t>A</t>
        </is>
      </c>
      <c r="G21" s="11" t="inlineStr">
        <is>
          <t>X</t>
        </is>
      </c>
      <c r="H21" s="11" t="inlineStr">
        <is>
          <t>AX</t>
        </is>
      </c>
    </row>
    <row r="22">
      <c r="A22" s="11" t="inlineStr">
        <is>
          <t>Стул Альфа барный (5 полос) Гобелен/Кзам</t>
        </is>
      </c>
      <c r="B22" s="11" t="n">
        <v>576</v>
      </c>
      <c r="C22" s="11" t="n">
        <v>6458400</v>
      </c>
      <c r="D22" s="11" t="n">
        <v>0.01350635281214071</v>
      </c>
      <c r="E22" s="11" t="n">
        <v>0.443066003860722</v>
      </c>
      <c r="F22" s="11" t="inlineStr">
        <is>
          <t>A</t>
        </is>
      </c>
      <c r="G22" s="11" t="inlineStr">
        <is>
          <t>X</t>
        </is>
      </c>
      <c r="H22" s="11" t="inlineStr">
        <is>
          <t>AX</t>
        </is>
      </c>
    </row>
    <row r="23">
      <c r="A23" s="11" t="inlineStr">
        <is>
          <t>Вешалка напольная металл. Кактус Эконом краш.</t>
        </is>
      </c>
      <c r="B23" s="11" t="n">
        <v>1091</v>
      </c>
      <c r="C23" s="11" t="n">
        <v>5847760</v>
      </c>
      <c r="D23" s="11" t="n">
        <v>0.01222933075076241</v>
      </c>
      <c r="E23" s="11" t="n">
        <v>0.4552953346114844</v>
      </c>
      <c r="F23" s="11" t="inlineStr">
        <is>
          <t>A</t>
        </is>
      </c>
      <c r="G23" s="11" t="inlineStr">
        <is>
          <t>X</t>
        </is>
      </c>
      <c r="H23" s="11" t="inlineStr">
        <is>
          <t>AX</t>
        </is>
      </c>
    </row>
    <row r="24">
      <c r="A24" s="11" t="inlineStr">
        <is>
          <t>Кресло мод.МИ-6 черная сетка подл..209 черный пластик ,крест.пласт черный</t>
        </is>
      </c>
      <c r="B24" s="11" t="n">
        <v>326</v>
      </c>
      <c r="C24" s="11" t="n">
        <v>5753505</v>
      </c>
      <c r="D24" s="11" t="n">
        <v>0.01203221671565955</v>
      </c>
      <c r="E24" s="11" t="n">
        <v>0.467327551327144</v>
      </c>
      <c r="F24" s="11" t="inlineStr">
        <is>
          <t>A</t>
        </is>
      </c>
      <c r="G24" s="11" t="inlineStr">
        <is>
          <t>X</t>
        </is>
      </c>
      <c r="H24" s="11" t="inlineStr">
        <is>
          <t>AX</t>
        </is>
      </c>
    </row>
    <row r="25">
      <c r="A25" s="11" t="inlineStr">
        <is>
          <t>Диван Сандра "3" кзам PU/гоб.stock (Эконом)</t>
        </is>
      </c>
      <c r="B25" s="11" t="n">
        <v>103</v>
      </c>
      <c r="C25" s="11" t="n">
        <v>5505350</v>
      </c>
      <c r="D25" s="11" t="n">
        <v>0.01151325397224063</v>
      </c>
      <c r="E25" s="11" t="n">
        <v>0.4788408052993846</v>
      </c>
      <c r="F25" s="11" t="inlineStr">
        <is>
          <t>A</t>
        </is>
      </c>
      <c r="G25" s="11" t="inlineStr">
        <is>
          <t>Z</t>
        </is>
      </c>
      <c r="H25" s="11" t="inlineStr">
        <is>
          <t>AZ</t>
        </is>
      </c>
    </row>
    <row r="26">
      <c r="A26" s="11" t="inlineStr">
        <is>
          <t>Шкаф для одежды Кул-125/1 800*500*2000 Н стандартные цвета</t>
        </is>
      </c>
      <c r="B26" s="11" t="n">
        <v>138</v>
      </c>
      <c r="C26" s="11" t="n">
        <v>5493090</v>
      </c>
      <c r="D26" s="11" t="n">
        <v>0.01148761482237737</v>
      </c>
      <c r="E26" s="11" t="n">
        <v>0.490328420121762</v>
      </c>
      <c r="F26" s="11" t="inlineStr">
        <is>
          <t>A</t>
        </is>
      </c>
      <c r="G26" s="11" t="inlineStr">
        <is>
          <t>Y</t>
        </is>
      </c>
      <c r="H26" s="11" t="inlineStr">
        <is>
          <t>AY</t>
        </is>
      </c>
    </row>
    <row r="27">
      <c r="A27" s="11" t="inlineStr">
        <is>
          <t>Банкетка со спинкой 120*36 гобелен/кзам PVC</t>
        </is>
      </c>
      <c r="B27" s="11" t="n">
        <v>295</v>
      </c>
      <c r="C27" s="11" t="n">
        <v>5489210</v>
      </c>
      <c r="D27" s="11" t="n">
        <v>0.0114795006379182</v>
      </c>
      <c r="E27" s="11" t="n">
        <v>0.5018079207596802</v>
      </c>
      <c r="F27" s="11" t="inlineStr">
        <is>
          <t>A</t>
        </is>
      </c>
      <c r="G27" s="11" t="inlineStr">
        <is>
          <t>X</t>
        </is>
      </c>
      <c r="H27" s="11" t="inlineStr">
        <is>
          <t>AX</t>
        </is>
      </c>
    </row>
    <row r="28">
      <c r="A28" s="11" t="inlineStr">
        <is>
          <t>Стул Лука 1 м.эл. цв.каркас Гобелен/Кзам</t>
        </is>
      </c>
      <c r="B28" s="11" t="n">
        <v>1132</v>
      </c>
      <c r="C28" s="11" t="n">
        <v>5435435</v>
      </c>
      <c r="D28" s="11" t="n">
        <v>0.01136704180562648</v>
      </c>
      <c r="E28" s="11" t="n">
        <v>0.5131749625653067</v>
      </c>
      <c r="F28" s="11" t="inlineStr">
        <is>
          <t>A</t>
        </is>
      </c>
      <c r="G28" s="11" t="inlineStr">
        <is>
          <t>X</t>
        </is>
      </c>
      <c r="H28" s="11" t="inlineStr">
        <is>
          <t>AX</t>
        </is>
      </c>
    </row>
    <row r="29">
      <c r="A29" s="11" t="inlineStr">
        <is>
          <t>Скамья уличная со спинкой (брус н/краш)</t>
        </is>
      </c>
      <c r="B29" s="11" t="n">
        <v>202</v>
      </c>
      <c r="C29" s="11" t="n">
        <v>5412590</v>
      </c>
      <c r="D29" s="11" t="n">
        <v>0.01131926640769613</v>
      </c>
      <c r="E29" s="11" t="n">
        <v>0.5244942289730028</v>
      </c>
      <c r="F29" s="11" t="inlineStr">
        <is>
          <t>A</t>
        </is>
      </c>
      <c r="G29" s="11" t="inlineStr">
        <is>
          <t>Y</t>
        </is>
      </c>
      <c r="H29" s="11" t="inlineStr">
        <is>
          <t>AY</t>
        </is>
      </c>
    </row>
    <row r="30">
      <c r="A30" s="11" t="inlineStr">
        <is>
          <t>Кресло Мажор гобелен,кзам подл.пл.818/1 (кзам),крест.пл.d680 м/п, ДДС, кол JL</t>
        </is>
      </c>
      <c r="B30" s="11" t="n">
        <v>111</v>
      </c>
      <c r="C30" s="11" t="n">
        <v>5326975</v>
      </c>
      <c r="D30" s="11" t="n">
        <v>0.01114022107200751</v>
      </c>
      <c r="E30" s="11" t="n">
        <v>0.5356344500450103</v>
      </c>
      <c r="F30" s="11" t="inlineStr">
        <is>
          <t>A</t>
        </is>
      </c>
      <c r="G30" s="11" t="inlineStr">
        <is>
          <t>Z</t>
        </is>
      </c>
      <c r="H30" s="11" t="inlineStr">
        <is>
          <t>AZ</t>
        </is>
      </c>
    </row>
    <row r="31">
      <c r="A31" s="11" t="inlineStr">
        <is>
          <t>Скамья уличная без спинки (брусья н/краш.)</t>
        </is>
      </c>
      <c r="B31" s="11" t="n">
        <v>268</v>
      </c>
      <c r="C31" s="11" t="n">
        <v>5309080</v>
      </c>
      <c r="D31" s="11" t="n">
        <v>0.01110279753311656</v>
      </c>
      <c r="E31" s="11" t="n">
        <v>0.5467372475781269</v>
      </c>
      <c r="F31" s="11" t="inlineStr">
        <is>
          <t>A</t>
        </is>
      </c>
      <c r="G31" s="11" t="inlineStr">
        <is>
          <t>X</t>
        </is>
      </c>
      <c r="H31" s="11" t="inlineStr">
        <is>
          <t>AX</t>
        </is>
      </c>
    </row>
    <row r="32">
      <c r="A32" s="11" t="inlineStr">
        <is>
          <t>Диван Сандра с/п "3" кзам PU/гоб.stock (Комфорт)</t>
        </is>
      </c>
      <c r="B32" s="11" t="n">
        <v>85</v>
      </c>
      <c r="C32" s="11" t="n">
        <v>5297200</v>
      </c>
      <c r="D32" s="11" t="n">
        <v>0.01107795307142199</v>
      </c>
      <c r="E32" s="11" t="n">
        <v>0.5578152006495489</v>
      </c>
      <c r="F32" s="11" t="inlineStr">
        <is>
          <t>A</t>
        </is>
      </c>
      <c r="G32" s="11" t="inlineStr">
        <is>
          <t>Z</t>
        </is>
      </c>
      <c r="H32" s="11" t="inlineStr">
        <is>
          <t>AZ</t>
        </is>
      </c>
    </row>
    <row r="33">
      <c r="A33" s="11" t="inlineStr">
        <is>
          <t>Стол однотумбовый с ящиками Кул-108 1300*650*750 Н стандартные цвета</t>
        </is>
      </c>
      <c r="B33" s="11" t="n">
        <v>197</v>
      </c>
      <c r="C33" s="11" t="n">
        <v>5009450</v>
      </c>
      <c r="D33" s="11" t="n">
        <v>0.0104761859121111</v>
      </c>
      <c r="E33" s="11" t="n">
        <v>0.56829138656166</v>
      </c>
      <c r="F33" s="11" t="inlineStr">
        <is>
          <t>A</t>
        </is>
      </c>
      <c r="G33" s="11" t="inlineStr">
        <is>
          <t>Y</t>
        </is>
      </c>
      <c r="H33" s="11" t="inlineStr">
        <is>
          <t>AY</t>
        </is>
      </c>
    </row>
    <row r="34">
      <c r="A34" s="11" t="inlineStr">
        <is>
          <t>Кресло мод.МИ-6 Эконом подл.пл.209,крест.пл.d600</t>
        </is>
      </c>
      <c r="B34" s="11" t="n">
        <v>290</v>
      </c>
      <c r="C34" s="11" t="n">
        <v>4986555</v>
      </c>
      <c r="D34" s="11" t="n">
        <v>0.01042830594994803</v>
      </c>
      <c r="E34" s="11" t="n">
        <v>0.578719692511608</v>
      </c>
      <c r="F34" s="11" t="inlineStr">
        <is>
          <t>A</t>
        </is>
      </c>
      <c r="G34" s="11" t="inlineStr">
        <is>
          <t>X</t>
        </is>
      </c>
      <c r="H34" s="11" t="inlineStr">
        <is>
          <t>AX</t>
        </is>
      </c>
    </row>
    <row r="35">
      <c r="A35" s="11" t="inlineStr">
        <is>
          <t>Стул Изо чёрный каркас/гобелен 11К (чёрный)</t>
        </is>
      </c>
      <c r="B35" s="11" t="n">
        <v>600</v>
      </c>
      <c r="C35" s="11" t="n">
        <v>4808000</v>
      </c>
      <c r="D35" s="11" t="n">
        <v>0.01005489661847711</v>
      </c>
      <c r="E35" s="11" t="n">
        <v>0.5887745891300852</v>
      </c>
      <c r="F35" s="11" t="inlineStr">
        <is>
          <t>A</t>
        </is>
      </c>
      <c r="G35" s="11" t="inlineStr">
        <is>
          <t>X</t>
        </is>
      </c>
      <c r="H35" s="11" t="inlineStr">
        <is>
          <t>AX</t>
        </is>
      </c>
    </row>
    <row r="36">
      <c r="A36" s="11" t="inlineStr">
        <is>
          <t>Кресло Ленайс (мет.каркас) подл.пл.303 с накл.,крест.пл.d416/ 670-1/ 680/ 700 м/п, кол JL</t>
        </is>
      </c>
      <c r="B36" s="11" t="n">
        <v>175</v>
      </c>
      <c r="C36" s="11" t="n">
        <v>4563125</v>
      </c>
      <c r="D36" s="11" t="n">
        <v>0.009542793288724698</v>
      </c>
      <c r="E36" s="11" t="n">
        <v>0.5983173824188098</v>
      </c>
      <c r="F36" s="11" t="inlineStr">
        <is>
          <t>A</t>
        </is>
      </c>
      <c r="G36" s="11" t="inlineStr">
        <is>
          <t>Y</t>
        </is>
      </c>
      <c r="H36" s="11" t="inlineStr">
        <is>
          <t>AY</t>
        </is>
      </c>
    </row>
    <row r="37">
      <c r="A37" s="11" t="inlineStr">
        <is>
          <t>Стол рабочий Кул-101 1200*600*750 Н стандартные цвета</t>
        </is>
      </c>
      <c r="B37" s="11" t="n">
        <v>343</v>
      </c>
      <c r="C37" s="11" t="n">
        <v>4381825</v>
      </c>
      <c r="D37" s="11" t="n">
        <v>0.009163643380877381</v>
      </c>
      <c r="E37" s="11" t="n">
        <v>0.6074810257996872</v>
      </c>
      <c r="F37" s="11" t="inlineStr">
        <is>
          <t>A</t>
        </is>
      </c>
      <c r="G37" s="11" t="inlineStr">
        <is>
          <t>X</t>
        </is>
      </c>
      <c r="H37" s="11" t="inlineStr">
        <is>
          <t>AX</t>
        </is>
      </c>
    </row>
    <row r="38">
      <c r="A38" s="11" t="inlineStr">
        <is>
          <t>Стол однотумбовый с ящиками Кул-107 1200*600*750 Н люкс</t>
        </is>
      </c>
      <c r="B38" s="11" t="n">
        <v>159</v>
      </c>
      <c r="C38" s="11" t="n">
        <v>4059270</v>
      </c>
      <c r="D38" s="11" t="n">
        <v>0.008489089059169211</v>
      </c>
      <c r="E38" s="11" t="n">
        <v>0.6159701148588564</v>
      </c>
      <c r="F38" s="11" t="inlineStr">
        <is>
          <t>A</t>
        </is>
      </c>
      <c r="G38" s="11" t="inlineStr">
        <is>
          <t>Y</t>
        </is>
      </c>
      <c r="H38" s="11" t="inlineStr">
        <is>
          <t>AY</t>
        </is>
      </c>
    </row>
    <row r="39">
      <c r="A39" s="11" t="inlineStr">
        <is>
          <t>Кресло Мажор гобелен,кзам подл.пл.818 (кзам),крест.пл.d680 м/п, ДДС, кол JL</t>
        </is>
      </c>
      <c r="B39" s="11" t="n">
        <v>82</v>
      </c>
      <c r="C39" s="11" t="n">
        <v>3953105</v>
      </c>
      <c r="D39" s="11" t="n">
        <v>0.008267067823832143</v>
      </c>
      <c r="E39" s="11" t="n">
        <v>0.6242371826826886</v>
      </c>
      <c r="F39" s="11" t="inlineStr">
        <is>
          <t>A</t>
        </is>
      </c>
      <c r="G39" s="11" t="inlineStr">
        <is>
          <t>Z</t>
        </is>
      </c>
      <c r="H39" s="11" t="inlineStr">
        <is>
          <t>AZ</t>
        </is>
      </c>
    </row>
    <row r="40">
      <c r="A40" s="11" t="inlineStr">
        <is>
          <t>Стеллаж открытый Кул-122 800*350*2000 Н стандартные цвета</t>
        </is>
      </c>
      <c r="B40" s="11" t="n">
        <v>193</v>
      </c>
      <c r="C40" s="11" t="n">
        <v>3923690</v>
      </c>
      <c r="D40" s="11" t="n">
        <v>0.008205552685722222</v>
      </c>
      <c r="E40" s="11" t="n">
        <v>0.6324427353684108</v>
      </c>
      <c r="F40" s="11" t="inlineStr">
        <is>
          <t>A</t>
        </is>
      </c>
      <c r="G40" s="11" t="inlineStr">
        <is>
          <t>Y</t>
        </is>
      </c>
      <c r="H40" s="11" t="inlineStr">
        <is>
          <t>AY</t>
        </is>
      </c>
    </row>
    <row r="41">
      <c r="A41" s="11" t="inlineStr">
        <is>
          <t>Подставка для обуви 3 полки (неразборная) м/п краш</t>
        </is>
      </c>
      <c r="B41" s="11" t="n">
        <v>463</v>
      </c>
      <c r="C41" s="11" t="n">
        <v>3685825</v>
      </c>
      <c r="D41" s="11" t="n">
        <v>0.007708109261397335</v>
      </c>
      <c r="E41" s="11" t="n">
        <v>0.6401508446298081</v>
      </c>
      <c r="F41" s="11" t="inlineStr">
        <is>
          <t>A</t>
        </is>
      </c>
      <c r="G41" s="11" t="inlineStr">
        <is>
          <t>X</t>
        </is>
      </c>
      <c r="H41" s="11" t="inlineStr">
        <is>
          <t>AX</t>
        </is>
      </c>
    </row>
    <row r="42">
      <c r="A42" s="11" t="inlineStr">
        <is>
          <t>Стул Триумф цв.каркас кзам PU/ гоб.stock коричневый</t>
        </is>
      </c>
      <c r="B42" s="11" t="n">
        <v>435</v>
      </c>
      <c r="C42" s="11" t="n">
        <v>3679950</v>
      </c>
      <c r="D42" s="11" t="n">
        <v>0.007695822964052586</v>
      </c>
      <c r="E42" s="11" t="n">
        <v>0.6478466675938607</v>
      </c>
      <c r="F42" s="11" t="inlineStr">
        <is>
          <t>A</t>
        </is>
      </c>
      <c r="G42" s="11" t="inlineStr">
        <is>
          <t>X</t>
        </is>
      </c>
      <c r="H42" s="11" t="inlineStr">
        <is>
          <t>AX</t>
        </is>
      </c>
    </row>
    <row r="43">
      <c r="A43" s="11" t="inlineStr">
        <is>
          <t>Кресло мод.МИ-6 подл.пл.209,крест.пласт. Multicolor  сетка</t>
        </is>
      </c>
      <c r="B43" s="11" t="n">
        <v>217</v>
      </c>
      <c r="C43" s="11" t="n">
        <v>3676855</v>
      </c>
      <c r="D43" s="11" t="n">
        <v>0.007689350438047139</v>
      </c>
      <c r="E43" s="11" t="n">
        <v>0.6555360180319079</v>
      </c>
      <c r="F43" s="11" t="inlineStr">
        <is>
          <t>A</t>
        </is>
      </c>
      <c r="G43" s="11" t="inlineStr">
        <is>
          <t>Y</t>
        </is>
      </c>
      <c r="H43" s="11" t="inlineStr">
        <is>
          <t>AY</t>
        </is>
      </c>
    </row>
    <row r="44">
      <c r="A44" s="11" t="inlineStr">
        <is>
          <t>Банкетка без спинки 120*36 гобелен/кзам PVC</t>
        </is>
      </c>
      <c r="B44" s="11" t="n">
        <v>253</v>
      </c>
      <c r="C44" s="11" t="n">
        <v>3627710</v>
      </c>
      <c r="D44" s="11" t="n">
        <v>0.007586574253705405</v>
      </c>
      <c r="E44" s="11" t="n">
        <v>0.6631225922856133</v>
      </c>
      <c r="F44" s="11" t="inlineStr">
        <is>
          <t>A</t>
        </is>
      </c>
      <c r="G44" s="11" t="inlineStr">
        <is>
          <t>X</t>
        </is>
      </c>
      <c r="H44" s="11" t="inlineStr">
        <is>
          <t>AX</t>
        </is>
      </c>
    </row>
    <row r="45">
      <c r="A45" s="11" t="inlineStr">
        <is>
          <t>Стеллаж широкий Кул-123 800*350*2000 Н люкс</t>
        </is>
      </c>
      <c r="B45" s="11" t="n">
        <v>120</v>
      </c>
      <c r="C45" s="11" t="n">
        <v>3609180</v>
      </c>
      <c r="D45" s="11" t="n">
        <v>0.007547822749058903</v>
      </c>
      <c r="E45" s="11" t="n">
        <v>0.6706704150346722</v>
      </c>
      <c r="F45" s="11" t="inlineStr">
        <is>
          <t>A</t>
        </is>
      </c>
      <c r="G45" s="11" t="inlineStr">
        <is>
          <t>Z</t>
        </is>
      </c>
      <c r="H45" s="11" t="inlineStr">
        <is>
          <t>AZ</t>
        </is>
      </c>
    </row>
    <row r="46">
      <c r="A46" s="11" t="inlineStr">
        <is>
          <t>Стул Триумф цв.каркас кзам PU/ гоб.stock бежевый</t>
        </is>
      </c>
      <c r="B46" s="11" t="n">
        <v>407</v>
      </c>
      <c r="C46" s="11" t="n">
        <v>3576725</v>
      </c>
      <c r="D46" s="11" t="n">
        <v>0.007479950105599528</v>
      </c>
      <c r="E46" s="11" t="n">
        <v>0.6781503651402717</v>
      </c>
      <c r="F46" s="11" t="inlineStr">
        <is>
          <t>A</t>
        </is>
      </c>
      <c r="G46" s="11" t="inlineStr">
        <is>
          <t>X</t>
        </is>
      </c>
      <c r="H46" s="11" t="inlineStr">
        <is>
          <t>AX</t>
        </is>
      </c>
    </row>
    <row r="47">
      <c r="A47" s="11" t="inlineStr">
        <is>
          <t>Стол однотумбовый с дверцей Кул-106 1200*600*750 Н люкс</t>
        </is>
      </c>
      <c r="B47" s="11" t="n">
        <v>158</v>
      </c>
      <c r="C47" s="11" t="n">
        <v>3494960</v>
      </c>
      <c r="D47" s="11" t="n">
        <v>0.007308956215830439</v>
      </c>
      <c r="E47" s="11" t="n">
        <v>0.6854593213561021</v>
      </c>
      <c r="F47" s="11" t="inlineStr">
        <is>
          <t>A</t>
        </is>
      </c>
      <c r="G47" s="11" t="inlineStr">
        <is>
          <t>Y</t>
        </is>
      </c>
      <c r="H47" s="11" t="inlineStr">
        <is>
          <t>AY</t>
        </is>
      </c>
    </row>
    <row r="48">
      <c r="A48" s="11" t="inlineStr">
        <is>
          <t>Кресло Торино Н гобелен,кзам подл.пласт.,крест.пласт.</t>
        </is>
      </c>
      <c r="B48" s="11" t="n">
        <v>175</v>
      </c>
      <c r="C48" s="11" t="n">
        <v>3292625</v>
      </c>
      <c r="D48" s="11" t="n">
        <v>0.006885816135277284</v>
      </c>
      <c r="E48" s="11" t="n">
        <v>0.6923451374913794</v>
      </c>
      <c r="F48" s="11" t="inlineStr">
        <is>
          <t>A</t>
        </is>
      </c>
      <c r="G48" s="11" t="inlineStr">
        <is>
          <t>Y</t>
        </is>
      </c>
      <c r="H48" s="11" t="inlineStr">
        <is>
          <t>AY</t>
        </is>
      </c>
    </row>
    <row r="49">
      <c r="A49" s="11" t="inlineStr">
        <is>
          <t>Стул Альфа барный (многополосн) с мяг.эл.на спин. Гобелен/Кзам</t>
        </is>
      </c>
      <c r="B49" s="11" t="n">
        <v>221</v>
      </c>
      <c r="C49" s="11" t="n">
        <v>3227730</v>
      </c>
      <c r="D49" s="11" t="n">
        <v>0.006750102217628351</v>
      </c>
      <c r="E49" s="11" t="n">
        <v>0.6990952397090078</v>
      </c>
      <c r="F49" s="11" t="inlineStr">
        <is>
          <t>A</t>
        </is>
      </c>
      <c r="G49" s="11" t="inlineStr">
        <is>
          <t>Y</t>
        </is>
      </c>
      <c r="H49" s="11" t="inlineStr">
        <is>
          <t>AY</t>
        </is>
      </c>
    </row>
    <row r="50">
      <c r="A50" s="11" t="inlineStr">
        <is>
          <t>Подставка для обуви 5 полок (неразборная) краш.</t>
        </is>
      </c>
      <c r="B50" s="11" t="n">
        <v>282</v>
      </c>
      <c r="C50" s="11" t="n">
        <v>3202110</v>
      </c>
      <c r="D50" s="11" t="n">
        <v>0.006696523504781973</v>
      </c>
      <c r="E50" s="11" t="n">
        <v>0.7057917632137898</v>
      </c>
      <c r="F50" s="11" t="inlineStr">
        <is>
          <t>A</t>
        </is>
      </c>
      <c r="G50" s="11" t="inlineStr">
        <is>
          <t>X</t>
        </is>
      </c>
      <c r="H50" s="11" t="inlineStr">
        <is>
          <t>AX</t>
        </is>
      </c>
    </row>
    <row r="51">
      <c r="A51" s="11" t="inlineStr">
        <is>
          <t>Стул Бурса цв.каркас кзам PU/гоб.stock НА ЗАКАЗ НЕ БРАТЬ!!!</t>
        </is>
      </c>
      <c r="B51" s="11" t="n">
        <v>277</v>
      </c>
      <c r="C51" s="11" t="n">
        <v>3119020</v>
      </c>
      <c r="D51" s="11" t="n">
        <v>0.006522758662845771</v>
      </c>
      <c r="E51" s="11" t="n">
        <v>0.7123145218766356</v>
      </c>
      <c r="F51" s="11" t="inlineStr">
        <is>
          <t>A</t>
        </is>
      </c>
      <c r="G51" s="11" t="inlineStr">
        <is>
          <t>X</t>
        </is>
      </c>
      <c r="H51" s="11" t="inlineStr">
        <is>
          <t>AX</t>
        </is>
      </c>
    </row>
    <row r="52">
      <c r="A52" s="11" t="inlineStr">
        <is>
          <t>Кресло Ленайс (мет.каркас) подл.пл.303 с накл.,крест.пл.d416/ 670-1/ 680/ 700 м/п</t>
        </is>
      </c>
      <c r="B52" s="11" t="n">
        <v>128</v>
      </c>
      <c r="C52" s="11" t="n">
        <v>3114065</v>
      </c>
      <c r="D52" s="11" t="n">
        <v>0.006512396347383094</v>
      </c>
      <c r="E52" s="11" t="n">
        <v>0.7188269182240187</v>
      </c>
      <c r="F52" s="11" t="inlineStr">
        <is>
          <t>A</t>
        </is>
      </c>
      <c r="G52" s="11" t="inlineStr">
        <is>
          <t>Y</t>
        </is>
      </c>
      <c r="H52" s="11" t="inlineStr">
        <is>
          <t>AY</t>
        </is>
      </c>
    </row>
    <row r="53">
      <c r="A53" s="11" t="inlineStr">
        <is>
          <t>Шкаф для одежды Кул-125 700*500*2000 Н люкс</t>
        </is>
      </c>
      <c r="B53" s="11" t="n">
        <v>89</v>
      </c>
      <c r="C53" s="11" t="n">
        <v>3106100</v>
      </c>
      <c r="D53" s="11" t="n">
        <v>0.006495739265110595</v>
      </c>
      <c r="E53" s="11" t="n">
        <v>0.7253226574891293</v>
      </c>
      <c r="F53" s="11" t="inlineStr">
        <is>
          <t>A</t>
        </is>
      </c>
      <c r="G53" s="11" t="inlineStr">
        <is>
          <t>Z</t>
        </is>
      </c>
      <c r="H53" s="11" t="inlineStr">
        <is>
          <t>AZ</t>
        </is>
      </c>
    </row>
    <row r="54">
      <c r="A54" s="11" t="inlineStr">
        <is>
          <t>Кушетка с рег.подгол. без выреза гобелен/кзам PVC</t>
        </is>
      </c>
      <c r="B54" s="11" t="n">
        <v>97</v>
      </c>
      <c r="C54" s="11" t="n">
        <v>3102925</v>
      </c>
      <c r="D54" s="11" t="n">
        <v>0.006489099436332795</v>
      </c>
      <c r="E54" s="11" t="n">
        <v>0.7318117569254621</v>
      </c>
      <c r="F54" s="11" t="inlineStr">
        <is>
          <t>A</t>
        </is>
      </c>
      <c r="G54" s="11" t="inlineStr">
        <is>
          <t>Z</t>
        </is>
      </c>
      <c r="H54" s="11" t="inlineStr">
        <is>
          <t>AZ</t>
        </is>
      </c>
    </row>
    <row r="55">
      <c r="A55" s="11" t="inlineStr">
        <is>
          <t>Кресло мод.МИ-6 подл.пл.209,цв.полозья</t>
        </is>
      </c>
      <c r="B55" s="11" t="n">
        <v>201</v>
      </c>
      <c r="C55" s="11" t="n">
        <v>3065490</v>
      </c>
      <c r="D55" s="11" t="n">
        <v>0.006410812195294381</v>
      </c>
      <c r="E55" s="11" t="n">
        <v>0.7382225691207565</v>
      </c>
      <c r="F55" s="11" t="inlineStr">
        <is>
          <t>A</t>
        </is>
      </c>
      <c r="G55" s="11" t="inlineStr">
        <is>
          <t>Y</t>
        </is>
      </c>
      <c r="H55" s="11" t="inlineStr">
        <is>
          <t>AY</t>
        </is>
      </c>
    </row>
    <row r="56">
      <c r="A56" s="11" t="inlineStr">
        <is>
          <t>Стул Лука 2 м.эл. цв.каркас Гобелен/Кзам</t>
        </is>
      </c>
      <c r="B56" s="11" t="n">
        <v>559</v>
      </c>
      <c r="C56" s="11" t="n">
        <v>3032965</v>
      </c>
      <c r="D56" s="11" t="n">
        <v>0.006342793161909197</v>
      </c>
      <c r="E56" s="11" t="n">
        <v>0.7445653622826657</v>
      </c>
      <c r="F56" s="11" t="inlineStr">
        <is>
          <t>A</t>
        </is>
      </c>
      <c r="G56" s="11" t="inlineStr">
        <is>
          <t>X</t>
        </is>
      </c>
      <c r="H56" s="11" t="inlineStr">
        <is>
          <t>AX</t>
        </is>
      </c>
    </row>
    <row r="57">
      <c r="A57" s="11" t="inlineStr">
        <is>
          <t>Кресло Мажор Эконом гобелен,кзам подл.пл.Сенатор с м.эл.,крест.пл., ДДС, кол JL коричневый</t>
        </is>
      </c>
      <c r="B57" s="11" t="n">
        <v>80</v>
      </c>
      <c r="C57" s="11" t="n">
        <v>2991770</v>
      </c>
      <c r="D57" s="11" t="n">
        <v>0.006256642690570144</v>
      </c>
      <c r="E57" s="11" t="n">
        <v>0.7508220049732358</v>
      </c>
      <c r="F57" s="11" t="inlineStr">
        <is>
          <t>A</t>
        </is>
      </c>
      <c r="G57" s="11" t="inlineStr">
        <is>
          <t>Z</t>
        </is>
      </c>
      <c r="H57" s="11" t="inlineStr">
        <is>
          <t>AZ</t>
        </is>
      </c>
    </row>
    <row r="58">
      <c r="A58" s="11" t="inlineStr">
        <is>
          <t>Стул пласт. Маверик черный</t>
        </is>
      </c>
      <c r="B58" s="11" t="n">
        <v>524</v>
      </c>
      <c r="C58" s="11" t="n">
        <v>2821895</v>
      </c>
      <c r="D58" s="11" t="n">
        <v>0.005901385709899638</v>
      </c>
      <c r="E58" s="11" t="n">
        <v>0.7567233906831354</v>
      </c>
      <c r="F58" s="11" t="inlineStr">
        <is>
          <t>A</t>
        </is>
      </c>
      <c r="G58" s="11" t="inlineStr">
        <is>
          <t>X</t>
        </is>
      </c>
      <c r="H58" s="11" t="inlineStr">
        <is>
          <t>AX</t>
        </is>
      </c>
    </row>
    <row r="59">
      <c r="A59" s="11" t="inlineStr">
        <is>
          <t>Стол рабочий Кул-103 1400*650*750 Н стандартные цвета</t>
        </is>
      </c>
      <c r="B59" s="11" t="n">
        <v>191</v>
      </c>
      <c r="C59" s="11" t="n">
        <v>2779050</v>
      </c>
      <c r="D59" s="11" t="n">
        <v>0.005811784618880783</v>
      </c>
      <c r="E59" s="11" t="n">
        <v>0.7625351753020162</v>
      </c>
      <c r="F59" s="11" t="inlineStr">
        <is>
          <t>A</t>
        </is>
      </c>
      <c r="G59" s="11" t="inlineStr">
        <is>
          <t>Y</t>
        </is>
      </c>
      <c r="H59" s="11" t="inlineStr">
        <is>
          <t>AY</t>
        </is>
      </c>
    </row>
    <row r="60">
      <c r="A60" s="11" t="inlineStr">
        <is>
          <t>Стол рабочий Кул-104 1500*700*750 Н стандартные цвета</t>
        </is>
      </c>
      <c r="B60" s="11" t="n">
        <v>167</v>
      </c>
      <c r="C60" s="11" t="n">
        <v>2677010</v>
      </c>
      <c r="D60" s="11" t="n">
        <v>0.00559838993274322</v>
      </c>
      <c r="E60" s="11" t="n">
        <v>0.7681335652347594</v>
      </c>
      <c r="F60" s="11" t="inlineStr">
        <is>
          <t>A</t>
        </is>
      </c>
      <c r="G60" s="11" t="inlineStr">
        <is>
          <t>Y</t>
        </is>
      </c>
      <c r="H60" s="11" t="inlineStr">
        <is>
          <t>AY</t>
        </is>
      </c>
    </row>
    <row r="61">
      <c r="A61" s="11" t="inlineStr">
        <is>
          <t>Стул Триумф цв.Золото кзам PU/ гоб.stock</t>
        </is>
      </c>
      <c r="B61" s="11" t="n">
        <v>224</v>
      </c>
      <c r="C61" s="11" t="n">
        <v>2630880</v>
      </c>
      <c r="D61" s="11" t="n">
        <v>0.005501918971634578</v>
      </c>
      <c r="E61" s="11" t="n">
        <v>0.7736354842063939</v>
      </c>
      <c r="F61" s="11" t="inlineStr">
        <is>
          <t>A</t>
        </is>
      </c>
      <c r="G61" s="11" t="inlineStr">
        <is>
          <t>Y</t>
        </is>
      </c>
      <c r="H61" s="11" t="inlineStr">
        <is>
          <t>AY</t>
        </is>
      </c>
    </row>
    <row r="62">
      <c r="A62" s="11" t="inlineStr">
        <is>
          <t>Стул Изо чёрный каркас/гобелен 17М (серый)</t>
        </is>
      </c>
      <c r="B62" s="11" t="n">
        <v>325</v>
      </c>
      <c r="C62" s="11" t="n">
        <v>2600000</v>
      </c>
      <c r="D62" s="11" t="n">
        <v>0.005437340101505923</v>
      </c>
      <c r="E62" s="11" t="n">
        <v>0.7790728243078998</v>
      </c>
      <c r="F62" s="11" t="inlineStr">
        <is>
          <t>A</t>
        </is>
      </c>
      <c r="G62" s="11" t="inlineStr">
        <is>
          <t>X</t>
        </is>
      </c>
      <c r="H62" s="11" t="inlineStr">
        <is>
          <t>AX</t>
        </is>
      </c>
    </row>
    <row r="63">
      <c r="A63" s="11" t="inlineStr">
        <is>
          <t>Прага скамья 3-х мест. с 1 м.эл. гобелен/кзам</t>
        </is>
      </c>
      <c r="B63" s="11" t="n">
        <v>120</v>
      </c>
      <c r="C63" s="11" t="n">
        <v>2581260</v>
      </c>
      <c r="D63" s="11" t="n">
        <v>0.005398149427081992</v>
      </c>
      <c r="E63" s="11" t="n">
        <v>0.7844709737349818</v>
      </c>
      <c r="F63" s="11" t="inlineStr">
        <is>
          <t>A</t>
        </is>
      </c>
      <c r="G63" s="11" t="inlineStr">
        <is>
          <t>Z</t>
        </is>
      </c>
      <c r="H63" s="11" t="inlineStr">
        <is>
          <t>AZ</t>
        </is>
      </c>
    </row>
    <row r="64">
      <c r="A64" s="11" t="inlineStr">
        <is>
          <t>Подставка для обуви с м.эл. неразборная гобелен/кзам</t>
        </is>
      </c>
      <c r="B64" s="11" t="n">
        <v>198</v>
      </c>
      <c r="C64" s="11" t="n">
        <v>2570040</v>
      </c>
      <c r="D64" s="11" t="n">
        <v>0.00537468521325934</v>
      </c>
      <c r="E64" s="11" t="n">
        <v>0.7898456589482411</v>
      </c>
      <c r="F64" s="11" t="inlineStr">
        <is>
          <t>A</t>
        </is>
      </c>
      <c r="G64" s="11" t="inlineStr">
        <is>
          <t>Y</t>
        </is>
      </c>
      <c r="H64" s="11" t="inlineStr">
        <is>
          <t>AY</t>
        </is>
      </c>
    </row>
    <row r="65">
      <c r="A65" s="11" t="inlineStr">
        <is>
          <t>Вешалка гардеробная на колесах краш.</t>
        </is>
      </c>
      <c r="B65" s="11" t="n">
        <v>218</v>
      </c>
      <c r="C65" s="11" t="n">
        <v>2467760</v>
      </c>
      <c r="D65" s="11" t="n">
        <v>0.005160788618804714</v>
      </c>
      <c r="E65" s="11" t="n">
        <v>0.7950064475670459</v>
      </c>
      <c r="F65" s="11" t="inlineStr">
        <is>
          <t>A</t>
        </is>
      </c>
      <c r="G65" s="11" t="inlineStr">
        <is>
          <t>Y</t>
        </is>
      </c>
      <c r="H65" s="11" t="inlineStr">
        <is>
          <t>AY</t>
        </is>
      </c>
    </row>
    <row r="66">
      <c r="A66" s="12" t="inlineStr">
        <is>
          <t>Кушетка смотровая без выреза гобелен/кзам PVC</t>
        </is>
      </c>
      <c r="B66" s="12" t="n">
        <v>87</v>
      </c>
      <c r="C66" s="12" t="n">
        <v>2437305</v>
      </c>
      <c r="D66" s="12" t="n">
        <v>0.00509709854465419</v>
      </c>
      <c r="E66" s="12" t="n">
        <v>0.8001035461117001</v>
      </c>
      <c r="F66" s="12" t="inlineStr">
        <is>
          <t>B</t>
        </is>
      </c>
      <c r="G66" s="12" t="inlineStr">
        <is>
          <t>Z</t>
        </is>
      </c>
      <c r="H66" s="12" t="inlineStr">
        <is>
          <t>BZ</t>
        </is>
      </c>
    </row>
    <row r="67">
      <c r="A67" s="12" t="inlineStr">
        <is>
          <t>Кресло FB-88 (мет.каркас) подл.хром,крест.хром, кол JL</t>
        </is>
      </c>
      <c r="B67" s="12" t="n">
        <v>83</v>
      </c>
      <c r="C67" s="12" t="n">
        <v>2427750</v>
      </c>
      <c r="D67" s="12" t="n">
        <v>0.005077116319781156</v>
      </c>
      <c r="E67" s="12" t="n">
        <v>0.8051806624314812</v>
      </c>
      <c r="F67" s="12" t="inlineStr">
        <is>
          <t>B</t>
        </is>
      </c>
      <c r="G67" s="12" t="inlineStr">
        <is>
          <t>Z</t>
        </is>
      </c>
      <c r="H67" s="12" t="inlineStr">
        <is>
          <t>BZ</t>
        </is>
      </c>
    </row>
    <row r="68">
      <c r="A68" s="12" t="inlineStr">
        <is>
          <t>Вешалка гардеробная на колесах двойная краш.</t>
        </is>
      </c>
      <c r="B68" s="12" t="n">
        <v>161</v>
      </c>
      <c r="C68" s="12" t="n">
        <v>2411885</v>
      </c>
      <c r="D68" s="12" t="n">
        <v>0.005043938088738697</v>
      </c>
      <c r="E68" s="12" t="n">
        <v>0.8102246005202199</v>
      </c>
      <c r="F68" s="12" t="inlineStr">
        <is>
          <t>B</t>
        </is>
      </c>
      <c r="G68" s="12" t="inlineStr">
        <is>
          <t>Y</t>
        </is>
      </c>
      <c r="H68" s="12" t="inlineStr">
        <is>
          <t>BY</t>
        </is>
      </c>
    </row>
    <row r="69">
      <c r="A69" s="12" t="inlineStr">
        <is>
          <t>Подставка для обуви с м.эл. (вальц.тр.) гобелен/ кзам</t>
        </is>
      </c>
      <c r="B69" s="12" t="n">
        <v>167</v>
      </c>
      <c r="C69" s="12" t="n">
        <v>2392980</v>
      </c>
      <c r="D69" s="12" t="n">
        <v>0.005004402352346786</v>
      </c>
      <c r="E69" s="12" t="n">
        <v>0.8152290028725667</v>
      </c>
      <c r="F69" s="12" t="inlineStr">
        <is>
          <t>B</t>
        </is>
      </c>
      <c r="G69" s="12" t="inlineStr">
        <is>
          <t>Y</t>
        </is>
      </c>
      <c r="H69" s="12" t="inlineStr">
        <is>
          <t>BY</t>
        </is>
      </c>
    </row>
    <row r="70">
      <c r="A70" s="12" t="inlineStr">
        <is>
          <t>Стул мод.216 цв.карк. (ГКЗ м/п) с пластик накл. Гобелен/Кзам</t>
        </is>
      </c>
      <c r="B70" s="12" t="n">
        <v>133</v>
      </c>
      <c r="C70" s="12" t="n">
        <v>2361035</v>
      </c>
      <c r="D70" s="12" t="n">
        <v>0.004937596264061169</v>
      </c>
      <c r="E70" s="12" t="n">
        <v>0.8201665991366279</v>
      </c>
      <c r="F70" s="12" t="inlineStr">
        <is>
          <t>B</t>
        </is>
      </c>
      <c r="G70" s="12" t="inlineStr">
        <is>
          <t>Y</t>
        </is>
      </c>
      <c r="H70" s="12" t="inlineStr">
        <is>
          <t>BY</t>
        </is>
      </c>
    </row>
    <row r="71">
      <c r="A71" s="12" t="inlineStr">
        <is>
          <t>Шкаф для одежды Кул-126 400*500*2000 Н стандартные цвета</t>
        </is>
      </c>
      <c r="B71" s="12" t="n">
        <v>103</v>
      </c>
      <c r="C71" s="12" t="n">
        <v>2326375</v>
      </c>
      <c r="D71" s="12" t="n">
        <v>0.004865112337938786</v>
      </c>
      <c r="E71" s="12" t="n">
        <v>0.8250317114745667</v>
      </c>
      <c r="F71" s="12" t="inlineStr">
        <is>
          <t>B</t>
        </is>
      </c>
      <c r="G71" s="12" t="inlineStr">
        <is>
          <t>Z</t>
        </is>
      </c>
      <c r="H71" s="12" t="inlineStr">
        <is>
          <t>BZ</t>
        </is>
      </c>
    </row>
    <row r="72">
      <c r="A72" s="12" t="inlineStr">
        <is>
          <t>Ширма складная на колесах м/п кзам PVC</t>
        </is>
      </c>
      <c r="B72" s="12" t="n">
        <v>94</v>
      </c>
      <c r="C72" s="12" t="n">
        <v>2308615</v>
      </c>
      <c r="D72" s="12" t="n">
        <v>0.004827971122476191</v>
      </c>
      <c r="E72" s="12" t="n">
        <v>0.8298596825970429</v>
      </c>
      <c r="F72" s="12" t="inlineStr">
        <is>
          <t>B</t>
        </is>
      </c>
      <c r="G72" s="12" t="inlineStr">
        <is>
          <t>Z</t>
        </is>
      </c>
      <c r="H72" s="12" t="inlineStr">
        <is>
          <t>BZ</t>
        </is>
      </c>
    </row>
    <row r="73">
      <c r="A73" s="12" t="inlineStr">
        <is>
          <t>Стол рабочий Кул-102 1300*650*750 Н стандартные цвета</t>
        </is>
      </c>
      <c r="B73" s="12" t="n">
        <v>169</v>
      </c>
      <c r="C73" s="12" t="n">
        <v>2268825</v>
      </c>
      <c r="D73" s="12" t="n">
        <v>0.004744758906076606</v>
      </c>
      <c r="E73" s="12" t="n">
        <v>0.8346044415031195</v>
      </c>
      <c r="F73" s="12" t="inlineStr">
        <is>
          <t>B</t>
        </is>
      </c>
      <c r="G73" s="12" t="inlineStr">
        <is>
          <t>Y</t>
        </is>
      </c>
      <c r="H73" s="12" t="inlineStr">
        <is>
          <t>BY</t>
        </is>
      </c>
    </row>
    <row r="74">
      <c r="A74" s="12" t="inlineStr">
        <is>
          <t>Кресло Ленайс (мет.каркас) подл.пл.303 с накл.,крест.хром, кол JL</t>
        </is>
      </c>
      <c r="B74" s="12" t="n">
        <v>80</v>
      </c>
      <c r="C74" s="12" t="n">
        <v>2262400</v>
      </c>
      <c r="D74" s="12" t="n">
        <v>0.004731322402171923</v>
      </c>
      <c r="E74" s="12" t="n">
        <v>0.8393357639052914</v>
      </c>
      <c r="F74" s="12" t="inlineStr">
        <is>
          <t>B</t>
        </is>
      </c>
      <c r="G74" s="12" t="inlineStr">
        <is>
          <t>Z</t>
        </is>
      </c>
      <c r="H74" s="12" t="inlineStr">
        <is>
          <t>BZ</t>
        </is>
      </c>
    </row>
    <row r="75">
      <c r="A75" s="12" t="inlineStr">
        <is>
          <t>Стул СМ 7/1 м/п Гобелен/Кзам</t>
        </is>
      </c>
      <c r="B75" s="12" t="n">
        <v>320</v>
      </c>
      <c r="C75" s="12" t="n">
        <v>2216000</v>
      </c>
      <c r="D75" s="12" t="n">
        <v>0.004634286794206587</v>
      </c>
      <c r="E75" s="12" t="n">
        <v>0.843970050699498</v>
      </c>
      <c r="F75" s="12" t="inlineStr">
        <is>
          <t>B</t>
        </is>
      </c>
      <c r="G75" s="12" t="inlineStr">
        <is>
          <t>X</t>
        </is>
      </c>
      <c r="H75" s="12" t="inlineStr">
        <is>
          <t>BX</t>
        </is>
      </c>
    </row>
    <row r="76">
      <c r="A76" s="12" t="inlineStr">
        <is>
          <t>Вешалка напольная металл. Кактус (черный)</t>
        </is>
      </c>
      <c r="B76" s="12" t="n">
        <v>377</v>
      </c>
      <c r="C76" s="12" t="n">
        <v>2182830</v>
      </c>
      <c r="D76" s="12" t="n">
        <v>0.004564918882219298</v>
      </c>
      <c r="E76" s="12" t="n">
        <v>0.8485349695817174</v>
      </c>
      <c r="F76" s="12" t="inlineStr">
        <is>
          <t>B</t>
        </is>
      </c>
      <c r="G76" s="12" t="inlineStr">
        <is>
          <t>X</t>
        </is>
      </c>
      <c r="H76" s="12" t="inlineStr">
        <is>
          <t>BX</t>
        </is>
      </c>
    </row>
    <row r="77">
      <c r="A77" s="12" t="inlineStr">
        <is>
          <t>Стол S-образн.каркас 1200*800 столешница 16 мм</t>
        </is>
      </c>
      <c r="B77" s="12" t="n">
        <v>130</v>
      </c>
      <c r="C77" s="12" t="n">
        <v>2143050</v>
      </c>
      <c r="D77" s="12" t="n">
        <v>0.004481727578666257</v>
      </c>
      <c r="E77" s="12" t="n">
        <v>0.8530166971603836</v>
      </c>
      <c r="F77" s="12" t="inlineStr">
        <is>
          <t>B</t>
        </is>
      </c>
      <c r="G77" s="12" t="inlineStr">
        <is>
          <t>Y</t>
        </is>
      </c>
      <c r="H77" s="12" t="inlineStr">
        <is>
          <t>BY</t>
        </is>
      </c>
    </row>
    <row r="78">
      <c r="A78" s="12" t="inlineStr">
        <is>
          <t>Стул Триумф цв.каркас кзам PU/ гоб.stock серый</t>
        </is>
      </c>
      <c r="B78" s="12" t="n">
        <v>236</v>
      </c>
      <c r="C78" s="12" t="n">
        <v>2091140</v>
      </c>
      <c r="D78" s="12" t="n">
        <v>0.004373168992255037</v>
      </c>
      <c r="E78" s="12" t="n">
        <v>0.8573898661526387</v>
      </c>
      <c r="F78" s="12" t="inlineStr">
        <is>
          <t>B</t>
        </is>
      </c>
      <c r="G78" s="12" t="inlineStr">
        <is>
          <t>Y</t>
        </is>
      </c>
      <c r="H78" s="12" t="inlineStr">
        <is>
          <t>BY</t>
        </is>
      </c>
    </row>
    <row r="79">
      <c r="A79" s="12" t="inlineStr">
        <is>
          <t>Стул мод.216 люкс (ГКЗ м/п) с дер. накл. Кожзам АОД/ГОБ.Stock</t>
        </is>
      </c>
      <c r="B79" s="12" t="n">
        <v>80</v>
      </c>
      <c r="C79" s="12" t="n">
        <v>2044800</v>
      </c>
      <c r="D79" s="12" t="n">
        <v>0.004276258861368966</v>
      </c>
      <c r="E79" s="12" t="n">
        <v>0.8616661250140076</v>
      </c>
      <c r="F79" s="12" t="inlineStr">
        <is>
          <t>B</t>
        </is>
      </c>
      <c r="G79" s="12" t="inlineStr">
        <is>
          <t>Z</t>
        </is>
      </c>
      <c r="H79" s="12" t="inlineStr">
        <is>
          <t>BZ</t>
        </is>
      </c>
    </row>
    <row r="80">
      <c r="A80" s="12" t="inlineStr">
        <is>
          <t>Вешалка гардеробная с крючками краш.</t>
        </is>
      </c>
      <c r="B80" s="12" t="n">
        <v>126</v>
      </c>
      <c r="C80" s="12" t="n">
        <v>1941660</v>
      </c>
      <c r="D80" s="12" t="n">
        <v>0.004060563762111535</v>
      </c>
      <c r="E80" s="12" t="n">
        <v>0.8657266887761191</v>
      </c>
      <c r="F80" s="12" t="inlineStr">
        <is>
          <t>B</t>
        </is>
      </c>
      <c r="G80" s="12" t="inlineStr">
        <is>
          <t>Y</t>
        </is>
      </c>
      <c r="H80" s="12" t="inlineStr">
        <is>
          <t>BY</t>
        </is>
      </c>
    </row>
    <row r="81">
      <c r="A81" s="12" t="inlineStr">
        <is>
          <t>Кресло мод.МИ-6Х кзам АОД подл.пл.209,цв.полозья</t>
        </is>
      </c>
      <c r="B81" s="12" t="n">
        <v>101</v>
      </c>
      <c r="C81" s="12" t="n">
        <v>1915465</v>
      </c>
      <c r="D81" s="12" t="n">
        <v>0.004005782560588863</v>
      </c>
      <c r="E81" s="12" t="n">
        <v>0.8697324713367079</v>
      </c>
      <c r="F81" s="12" t="inlineStr">
        <is>
          <t>B</t>
        </is>
      </c>
      <c r="G81" s="12" t="inlineStr">
        <is>
          <t>Z</t>
        </is>
      </c>
      <c r="H81" s="12" t="inlineStr">
        <is>
          <t>BZ</t>
        </is>
      </c>
    </row>
    <row r="82">
      <c r="A82" s="12" t="inlineStr">
        <is>
          <t>Кресло Б Директор подл.пл.Сенатор,906,606,крест.пл.гобелен,кзам multi color</t>
        </is>
      </c>
      <c r="B82" s="12" t="n">
        <v>78</v>
      </c>
      <c r="C82" s="12" t="n">
        <v>1913730</v>
      </c>
      <c r="D82" s="12" t="n">
        <v>0.004002154181713435</v>
      </c>
      <c r="E82" s="12" t="n">
        <v>0.8737346255184214</v>
      </c>
      <c r="F82" s="12" t="inlineStr">
        <is>
          <t>B</t>
        </is>
      </c>
      <c r="G82" s="12" t="inlineStr">
        <is>
          <t>Z</t>
        </is>
      </c>
      <c r="H82" s="12" t="inlineStr">
        <is>
          <t>BZ</t>
        </is>
      </c>
    </row>
    <row r="83">
      <c r="A83" s="12" t="inlineStr">
        <is>
          <t>Табурет Эконом круглый гобелен/кзам Multicolor</t>
        </is>
      </c>
      <c r="B83" s="12" t="n">
        <v>731</v>
      </c>
      <c r="C83" s="12" t="n">
        <v>1814555</v>
      </c>
      <c r="D83" s="12" t="n">
        <v>0.0037947510261108</v>
      </c>
      <c r="E83" s="12" t="n">
        <v>0.8775293765445322</v>
      </c>
      <c r="F83" s="12" t="inlineStr">
        <is>
          <t>B</t>
        </is>
      </c>
      <c r="G83" s="12" t="inlineStr">
        <is>
          <t>X</t>
        </is>
      </c>
      <c r="H83" s="12" t="inlineStr">
        <is>
          <t>BX</t>
        </is>
      </c>
    </row>
    <row r="84">
      <c r="A84" s="12" t="inlineStr">
        <is>
          <t>Кресло Мини-Гранде пневмо с 1 подл. гобелен, кзам. пластик</t>
        </is>
      </c>
      <c r="B84" s="12" t="n">
        <v>85</v>
      </c>
      <c r="C84" s="12" t="n">
        <v>1753747</v>
      </c>
      <c r="D84" s="12" t="n">
        <v>0.003667584188844503</v>
      </c>
      <c r="E84" s="12" t="n">
        <v>0.8811969607333767</v>
      </c>
      <c r="F84" s="12" t="inlineStr">
        <is>
          <t>B</t>
        </is>
      </c>
      <c r="G84" s="12" t="inlineStr">
        <is>
          <t>Z</t>
        </is>
      </c>
      <c r="H84" s="12" t="inlineStr">
        <is>
          <t>BZ</t>
        </is>
      </c>
    </row>
    <row r="85">
      <c r="A85" s="12" t="inlineStr">
        <is>
          <t>ДСП</t>
        </is>
      </c>
      <c r="B85" s="12" t="n">
        <v>981.376</v>
      </c>
      <c r="C85" s="12" t="n">
        <v>1750542.05</v>
      </c>
      <c r="D85" s="12" t="n">
        <v>0.003660881726091303</v>
      </c>
      <c r="E85" s="12" t="n">
        <v>0.884857842459468</v>
      </c>
      <c r="F85" s="12" t="inlineStr">
        <is>
          <t>B</t>
        </is>
      </c>
      <c r="G85" s="12" t="inlineStr">
        <is>
          <t>X</t>
        </is>
      </c>
      <c r="H85" s="12" t="inlineStr">
        <is>
          <t>BX</t>
        </is>
      </c>
    </row>
    <row r="86">
      <c r="A86" s="12" t="inlineStr">
        <is>
          <t>Подставка для обуви 2 полки (неразборная) м/п краш</t>
        </is>
      </c>
      <c r="B86" s="12" t="n">
        <v>285</v>
      </c>
      <c r="C86" s="12" t="n">
        <v>1662975</v>
      </c>
      <c r="D86" s="12" t="n">
        <v>0.003477754098193005</v>
      </c>
      <c r="E86" s="12" t="n">
        <v>0.8883355965576609</v>
      </c>
      <c r="F86" s="12" t="inlineStr">
        <is>
          <t>B</t>
        </is>
      </c>
      <c r="G86" s="12" t="inlineStr">
        <is>
          <t>X</t>
        </is>
      </c>
      <c r="H86" s="12" t="inlineStr">
        <is>
          <t>BX</t>
        </is>
      </c>
    </row>
    <row r="87">
      <c r="A87" s="12" t="inlineStr">
        <is>
          <t>Стул СМ А м/п Кожзам АОД/ГОБ.Stock</t>
        </is>
      </c>
      <c r="B87" s="12" t="n">
        <v>140</v>
      </c>
      <c r="C87" s="12" t="n">
        <v>1569400</v>
      </c>
      <c r="D87" s="12" t="n">
        <v>0.003282062136655152</v>
      </c>
      <c r="E87" s="12" t="n">
        <v>0.8916176586943161</v>
      </c>
      <c r="F87" s="12" t="inlineStr">
        <is>
          <t>B</t>
        </is>
      </c>
      <c r="G87" s="12" t="inlineStr">
        <is>
          <t>Y</t>
        </is>
      </c>
      <c r="H87" s="12" t="inlineStr">
        <is>
          <t>BY</t>
        </is>
      </c>
    </row>
    <row r="88">
      <c r="A88" s="12" t="inlineStr">
        <is>
          <t>Вешалка напольная металл. с плечиками Дархан №3 краш.</t>
        </is>
      </c>
      <c r="B88" s="12" t="n">
        <v>191</v>
      </c>
      <c r="C88" s="12" t="n">
        <v>1506161</v>
      </c>
      <c r="D88" s="12" t="n">
        <v>0.003149811386393947</v>
      </c>
      <c r="E88" s="12" t="n">
        <v>0.89476747008071</v>
      </c>
      <c r="F88" s="12" t="inlineStr">
        <is>
          <t>B</t>
        </is>
      </c>
      <c r="G88" s="12" t="inlineStr">
        <is>
          <t>Y</t>
        </is>
      </c>
      <c r="H88" s="12" t="inlineStr">
        <is>
          <t>BY</t>
        </is>
      </c>
    </row>
    <row r="89">
      <c r="A89" s="12" t="inlineStr">
        <is>
          <t>Кровать из ЛДСП "Лерой" 2000*900 люкс (Белый)</t>
        </is>
      </c>
      <c r="B89" s="12" t="n">
        <v>102</v>
      </c>
      <c r="C89" s="12" t="n">
        <v>1488180</v>
      </c>
      <c r="D89" s="12" t="n">
        <v>0.003112207997022725</v>
      </c>
      <c r="E89" s="12" t="n">
        <v>0.8978796780777327</v>
      </c>
      <c r="F89" s="12" t="inlineStr">
        <is>
          <t>B</t>
        </is>
      </c>
      <c r="G89" s="12" t="inlineStr">
        <is>
          <t>Z</t>
        </is>
      </c>
      <c r="H89" s="12" t="inlineStr">
        <is>
          <t>BZ</t>
        </is>
      </c>
    </row>
    <row r="90">
      <c r="A90" s="12" t="inlineStr">
        <is>
          <t>Стул Гектор цв.каркас Гобелен/Кзам</t>
        </is>
      </c>
      <c r="B90" s="12" t="n">
        <v>220</v>
      </c>
      <c r="C90" s="12" t="n">
        <v>1465200</v>
      </c>
      <c r="D90" s="12" t="n">
        <v>0.00306415027566403</v>
      </c>
      <c r="E90" s="12" t="n">
        <v>0.9009438283533967</v>
      </c>
      <c r="F90" s="12" t="inlineStr">
        <is>
          <t>B</t>
        </is>
      </c>
      <c r="G90" s="12" t="inlineStr">
        <is>
          <t>Y</t>
        </is>
      </c>
      <c r="H90" s="12" t="inlineStr">
        <is>
          <t>BY</t>
        </is>
      </c>
    </row>
    <row r="91">
      <c r="A91" s="12" t="inlineStr">
        <is>
          <t>Вешалка напольная металл. Илама краш.</t>
        </is>
      </c>
      <c r="B91" s="12" t="n">
        <v>290</v>
      </c>
      <c r="C91" s="12" t="n">
        <v>1457250</v>
      </c>
      <c r="D91" s="12" t="n">
        <v>0.003047524562661349</v>
      </c>
      <c r="E91" s="12" t="n">
        <v>0.903991352916058</v>
      </c>
      <c r="F91" s="12" t="inlineStr">
        <is>
          <t>B</t>
        </is>
      </c>
      <c r="G91" s="12" t="inlineStr">
        <is>
          <t>X</t>
        </is>
      </c>
      <c r="H91" s="12" t="inlineStr">
        <is>
          <t>BX</t>
        </is>
      </c>
    </row>
    <row r="92">
      <c r="A92" s="12" t="inlineStr">
        <is>
          <t>Банкетка со спинкой 80*36 гобелен/кзам PVC</t>
        </is>
      </c>
      <c r="B92" s="12" t="n">
        <v>93</v>
      </c>
      <c r="C92" s="12" t="n">
        <v>1444350</v>
      </c>
      <c r="D92" s="12" t="n">
        <v>0.003020546990619262</v>
      </c>
      <c r="E92" s="12" t="n">
        <v>0.9070118999066773</v>
      </c>
      <c r="F92" s="12" t="inlineStr">
        <is>
          <t>B</t>
        </is>
      </c>
      <c r="G92" s="12" t="inlineStr">
        <is>
          <t>Z</t>
        </is>
      </c>
      <c r="H92" s="12" t="inlineStr">
        <is>
          <t>BZ</t>
        </is>
      </c>
    </row>
    <row r="93">
      <c r="A93" s="12" t="inlineStr">
        <is>
          <t>Вешалка напольная металл. с плечиками Дархан краш.</t>
        </is>
      </c>
      <c r="B93" s="12" t="n">
        <v>235</v>
      </c>
      <c r="C93" s="12" t="n">
        <v>1425275</v>
      </c>
      <c r="D93" s="12" t="n">
        <v>0.002980655735836098</v>
      </c>
      <c r="E93" s="12" t="n">
        <v>0.9099925556425134</v>
      </c>
      <c r="F93" s="12" t="inlineStr">
        <is>
          <t>B</t>
        </is>
      </c>
      <c r="G93" s="12" t="inlineStr">
        <is>
          <t>Y</t>
        </is>
      </c>
      <c r="H93" s="12" t="inlineStr">
        <is>
          <t>BY</t>
        </is>
      </c>
    </row>
    <row r="94">
      <c r="A94" s="12" t="inlineStr">
        <is>
          <t>Стул Мира гоб/кзам СНЯТ С ПРОИЗВОДСТВА!!!</t>
        </is>
      </c>
      <c r="B94" s="12" t="n">
        <v>280</v>
      </c>
      <c r="C94" s="12" t="n">
        <v>1384200</v>
      </c>
      <c r="D94" s="12" t="n">
        <v>0.002894756218655576</v>
      </c>
      <c r="E94" s="12" t="n">
        <v>0.9128873118611689</v>
      </c>
      <c r="F94" s="12" t="inlineStr">
        <is>
          <t>B</t>
        </is>
      </c>
      <c r="G94" s="12" t="inlineStr">
        <is>
          <t>X</t>
        </is>
      </c>
      <c r="H94" s="12" t="inlineStr">
        <is>
          <t>BX</t>
        </is>
      </c>
    </row>
    <row r="95">
      <c r="A95" s="12" t="inlineStr">
        <is>
          <t>Стол S-образн.каркас 1200*800 столешница 16 мм цв.Люкс</t>
        </is>
      </c>
      <c r="B95" s="12" t="n">
        <v>78</v>
      </c>
      <c r="C95" s="12" t="n">
        <v>1366950</v>
      </c>
      <c r="D95" s="12" t="n">
        <v>0.002858681558366739</v>
      </c>
      <c r="E95" s="12" t="n">
        <v>0.9157459934195357</v>
      </c>
      <c r="F95" s="12" t="inlineStr">
        <is>
          <t>B</t>
        </is>
      </c>
      <c r="G95" s="12" t="inlineStr">
        <is>
          <t>Z</t>
        </is>
      </c>
      <c r="H95" s="12" t="inlineStr">
        <is>
          <t>BZ</t>
        </is>
      </c>
    </row>
    <row r="96">
      <c r="A96" s="12" t="inlineStr">
        <is>
          <t>Стул СМ 7 детский м/п Гобелен/Кзам</t>
        </is>
      </c>
      <c r="B96" s="12" t="n">
        <v>345</v>
      </c>
      <c r="C96" s="12" t="n">
        <v>1351500</v>
      </c>
      <c r="D96" s="12" t="n">
        <v>0.002826371210455867</v>
      </c>
      <c r="E96" s="12" t="n">
        <v>0.9185723646299915</v>
      </c>
      <c r="F96" s="12" t="inlineStr">
        <is>
          <t>B</t>
        </is>
      </c>
      <c r="G96" s="12" t="inlineStr">
        <is>
          <t>X</t>
        </is>
      </c>
      <c r="H96" s="12" t="inlineStr">
        <is>
          <t>BX</t>
        </is>
      </c>
    </row>
    <row r="97">
      <c r="A97" s="12" t="inlineStr">
        <is>
          <t>Вешалка напольная металл. Кактус Multicolor</t>
        </is>
      </c>
      <c r="B97" s="12" t="n">
        <v>233</v>
      </c>
      <c r="C97" s="12" t="n">
        <v>1348536</v>
      </c>
      <c r="D97" s="12" t="n">
        <v>0.002820172642740151</v>
      </c>
      <c r="E97" s="12" t="n">
        <v>0.9213925372727316</v>
      </c>
      <c r="F97" s="12" t="inlineStr">
        <is>
          <t>B</t>
        </is>
      </c>
      <c r="G97" s="12" t="inlineStr">
        <is>
          <t>Y</t>
        </is>
      </c>
      <c r="H97" s="12" t="inlineStr">
        <is>
          <t>BY</t>
        </is>
      </c>
    </row>
    <row r="98">
      <c r="A98" s="12" t="inlineStr">
        <is>
          <t>Вешалка напольная металл. с плечиками Дархан №2 краш.</t>
        </is>
      </c>
      <c r="B98" s="12" t="n">
        <v>182</v>
      </c>
      <c r="C98" s="12" t="n">
        <v>1326670</v>
      </c>
      <c r="D98" s="12" t="n">
        <v>0.002774444612486486</v>
      </c>
      <c r="E98" s="12" t="n">
        <v>0.9241669818852181</v>
      </c>
      <c r="F98" s="12" t="inlineStr">
        <is>
          <t>B</t>
        </is>
      </c>
      <c r="G98" s="12" t="inlineStr">
        <is>
          <t>Y</t>
        </is>
      </c>
      <c r="H98" s="12" t="inlineStr">
        <is>
          <t>BY</t>
        </is>
      </c>
    </row>
    <row r="99">
      <c r="A99" s="12" t="inlineStr">
        <is>
          <t>Стол рабочий Кул-100 1000*600*750 Н стандартные цвета</t>
        </is>
      </c>
      <c r="B99" s="12" t="n">
        <v>109</v>
      </c>
      <c r="C99" s="12" t="n">
        <v>1315305</v>
      </c>
      <c r="D99" s="12" t="n">
        <v>0.002750677162388942</v>
      </c>
      <c r="E99" s="12" t="n">
        <v>0.926917659047607</v>
      </c>
      <c r="F99" s="12" t="inlineStr">
        <is>
          <t>B</t>
        </is>
      </c>
      <c r="G99" s="12" t="inlineStr">
        <is>
          <t>Z</t>
        </is>
      </c>
      <c r="H99" s="12" t="inlineStr">
        <is>
          <t>BZ</t>
        </is>
      </c>
    </row>
    <row r="100">
      <c r="A100" s="12" t="inlineStr">
        <is>
          <t>Стул Триумф цв.каркас Гобелен/Кзам</t>
        </is>
      </c>
      <c r="B100" s="12" t="n">
        <v>141</v>
      </c>
      <c r="C100" s="12" t="n">
        <v>1296750</v>
      </c>
      <c r="D100" s="12" t="n">
        <v>0.002711873375626079</v>
      </c>
      <c r="E100" s="12" t="n">
        <v>0.9296295324232331</v>
      </c>
      <c r="F100" s="12" t="inlineStr">
        <is>
          <t>B</t>
        </is>
      </c>
      <c r="G100" s="12" t="inlineStr">
        <is>
          <t>Y</t>
        </is>
      </c>
      <c r="H100" s="12" t="inlineStr">
        <is>
          <t>BY</t>
        </is>
      </c>
    </row>
    <row r="101">
      <c r="A101" s="12" t="inlineStr">
        <is>
          <t>Стул Лемос (спинка пласт.) цв.каркас гоб.stock (только Bingo/Raund) серый</t>
        </is>
      </c>
      <c r="B101" s="12" t="n">
        <v>96</v>
      </c>
      <c r="C101" s="12" t="n">
        <v>1269230</v>
      </c>
      <c r="D101" s="12" t="n">
        <v>0.002654321221936293</v>
      </c>
      <c r="E101" s="12" t="n">
        <v>0.9322838536451694</v>
      </c>
      <c r="F101" s="12" t="inlineStr">
        <is>
          <t>B</t>
        </is>
      </c>
      <c r="G101" s="12" t="inlineStr">
        <is>
          <t>Z</t>
        </is>
      </c>
      <c r="H101" s="12" t="inlineStr">
        <is>
          <t>BZ</t>
        </is>
      </c>
    </row>
    <row r="102">
      <c r="A102" s="12" t="inlineStr">
        <is>
          <t>Стул мод 150 Эконом цв.каркас Гобелен/ кзам PVC</t>
        </is>
      </c>
      <c r="B102" s="12" t="n">
        <v>162</v>
      </c>
      <c r="C102" s="12" t="n">
        <v>1266840</v>
      </c>
      <c r="D102" s="12" t="n">
        <v>0.002649323051612217</v>
      </c>
      <c r="E102" s="12" t="n">
        <v>0.9349331766967817</v>
      </c>
      <c r="F102" s="12" t="inlineStr">
        <is>
          <t>B</t>
        </is>
      </c>
      <c r="G102" s="12" t="inlineStr">
        <is>
          <t>Y</t>
        </is>
      </c>
      <c r="H102" s="12" t="inlineStr">
        <is>
          <t>BY</t>
        </is>
      </c>
    </row>
    <row r="103">
      <c r="A103" s="12" t="inlineStr">
        <is>
          <t>Банкетка без спинки 80*36 гобелен/кзам PVC</t>
        </is>
      </c>
      <c r="B103" s="12" t="n">
        <v>103</v>
      </c>
      <c r="C103" s="12" t="n">
        <v>1245395</v>
      </c>
      <c r="D103" s="12" t="n">
        <v>0.002604475452198065</v>
      </c>
      <c r="E103" s="12" t="n">
        <v>0.9375376521489798</v>
      </c>
      <c r="F103" s="12" t="inlineStr">
        <is>
          <t>B</t>
        </is>
      </c>
      <c r="G103" s="12" t="inlineStr">
        <is>
          <t>Z</t>
        </is>
      </c>
      <c r="H103" s="12" t="inlineStr">
        <is>
          <t>BZ</t>
        </is>
      </c>
    </row>
    <row r="104">
      <c r="A104" s="12" t="inlineStr">
        <is>
          <t>Табурет круглый (тр.20*20) гобелен/кзам</t>
        </is>
      </c>
      <c r="B104" s="12" t="n">
        <v>396</v>
      </c>
      <c r="C104" s="12" t="n">
        <v>1198860</v>
      </c>
      <c r="D104" s="12" t="n">
        <v>0.002507157520804381</v>
      </c>
      <c r="E104" s="12" t="n">
        <v>0.9400448096697841</v>
      </c>
      <c r="F104" s="12" t="inlineStr">
        <is>
          <t>B</t>
        </is>
      </c>
      <c r="G104" s="12" t="inlineStr">
        <is>
          <t>X</t>
        </is>
      </c>
      <c r="H104" s="12" t="inlineStr">
        <is>
          <t>BX</t>
        </is>
      </c>
    </row>
    <row r="105">
      <c r="A105" s="12" t="inlineStr">
        <is>
          <t>Стул СМ 7 м/п Кожзам АОД/ГОБ.Stock</t>
        </is>
      </c>
      <c r="B105" s="12" t="n">
        <v>175</v>
      </c>
      <c r="C105" s="12" t="n">
        <v>1192725</v>
      </c>
      <c r="D105" s="12" t="n">
        <v>0.002494327489449482</v>
      </c>
      <c r="E105" s="12" t="n">
        <v>0.9425391371592335</v>
      </c>
      <c r="F105" s="12" t="inlineStr">
        <is>
          <t>B</t>
        </is>
      </c>
      <c r="G105" s="12" t="inlineStr">
        <is>
          <t>Y</t>
        </is>
      </c>
      <c r="H105" s="12" t="inlineStr">
        <is>
          <t>BY</t>
        </is>
      </c>
    </row>
    <row r="106">
      <c r="A106" s="12" t="inlineStr">
        <is>
          <t>Тумба мобильная без замка Кул-105 Э 490*470*500Н стандартные цвета</t>
        </is>
      </c>
      <c r="B106" s="12" t="n">
        <v>87</v>
      </c>
      <c r="C106" s="12" t="n">
        <v>1181895</v>
      </c>
      <c r="D106" s="12" t="n">
        <v>0.002471678876642055</v>
      </c>
      <c r="E106" s="12" t="n">
        <v>0.9450108160358756</v>
      </c>
      <c r="F106" s="12" t="inlineStr">
        <is>
          <t>B</t>
        </is>
      </c>
      <c r="G106" s="12" t="inlineStr">
        <is>
          <t>Z</t>
        </is>
      </c>
      <c r="H106" s="12" t="inlineStr">
        <is>
          <t>BZ</t>
        </is>
      </c>
    </row>
    <row r="107">
      <c r="A107" s="12" t="inlineStr">
        <is>
          <t>Стул Стандарт Плюс м/п Гобелен/Кзам</t>
        </is>
      </c>
      <c r="B107" s="12" t="n">
        <v>170</v>
      </c>
      <c r="C107" s="12" t="n">
        <v>1147500</v>
      </c>
      <c r="D107" s="12" t="n">
        <v>0.002399749140953095</v>
      </c>
      <c r="E107" s="12" t="n">
        <v>0.9474105651768286</v>
      </c>
      <c r="F107" s="12" t="inlineStr">
        <is>
          <t>B</t>
        </is>
      </c>
      <c r="G107" s="12" t="inlineStr">
        <is>
          <t>Y</t>
        </is>
      </c>
      <c r="H107" s="12" t="inlineStr">
        <is>
          <t>BY</t>
        </is>
      </c>
    </row>
    <row r="108">
      <c r="A108" s="12" t="inlineStr">
        <is>
          <t>Крестовина хром KZ-T02 350</t>
        </is>
      </c>
      <c r="B108" s="12" t="n">
        <v>301</v>
      </c>
      <c r="C108" s="12" t="n">
        <v>1132615</v>
      </c>
      <c r="D108" s="12" t="n">
        <v>0.002368620368871973</v>
      </c>
      <c r="E108" s="12" t="n">
        <v>0.9497791855457006</v>
      </c>
      <c r="F108" s="12" t="inlineStr">
        <is>
          <t>B</t>
        </is>
      </c>
      <c r="G108" s="12" t="inlineStr">
        <is>
          <t>X</t>
        </is>
      </c>
      <c r="H108" s="12" t="inlineStr">
        <is>
          <t>BX</t>
        </is>
      </c>
    </row>
    <row r="109">
      <c r="A109" s="13" t="inlineStr">
        <is>
          <t>Урна металл. Классика м/п краш.</t>
        </is>
      </c>
      <c r="B109" s="13" t="n">
        <v>162</v>
      </c>
      <c r="C109" s="13" t="n">
        <v>1079200</v>
      </c>
      <c r="D109" s="13" t="n">
        <v>0.002256914399055843</v>
      </c>
      <c r="E109" s="13" t="n">
        <v>0.9520360999447565</v>
      </c>
      <c r="F109" s="13" t="inlineStr">
        <is>
          <t>C</t>
        </is>
      </c>
      <c r="G109" s="13" t="inlineStr">
        <is>
          <t>Y</t>
        </is>
      </c>
      <c r="H109" s="13" t="inlineStr">
        <is>
          <t>CY</t>
        </is>
      </c>
    </row>
    <row r="110">
      <c r="A110" s="13" t="inlineStr">
        <is>
          <t>Стул Триумф цв.каркас Кожзам АОД/ГОБ.Stock актуальные номенкл DZH-00283 DZH-00282  DZH-00284</t>
        </is>
      </c>
      <c r="B110" s="13" t="n">
        <v>90</v>
      </c>
      <c r="C110" s="13" t="n">
        <v>1069650</v>
      </c>
      <c r="D110" s="13" t="n">
        <v>0.002236942630606081</v>
      </c>
      <c r="E110" s="13" t="n">
        <v>0.9542730425753625</v>
      </c>
      <c r="F110" s="13" t="inlineStr">
        <is>
          <t>C</t>
        </is>
      </c>
      <c r="G110" s="13" t="inlineStr">
        <is>
          <t>Z</t>
        </is>
      </c>
      <c r="H110" s="13" t="inlineStr">
        <is>
          <t>CZ</t>
        </is>
      </c>
    </row>
    <row r="111">
      <c r="A111" s="13" t="inlineStr">
        <is>
          <t>Урна металл. крытая м/п краш.</t>
        </is>
      </c>
      <c r="B111" s="13" t="n">
        <v>132</v>
      </c>
      <c r="C111" s="13" t="n">
        <v>1057320</v>
      </c>
      <c r="D111" s="13" t="n">
        <v>0.002211157090817016</v>
      </c>
      <c r="E111" s="13" t="n">
        <v>0.9564841996661795</v>
      </c>
      <c r="F111" s="13" t="inlineStr">
        <is>
          <t>C</t>
        </is>
      </c>
      <c r="G111" s="13" t="inlineStr">
        <is>
          <t>Y</t>
        </is>
      </c>
      <c r="H111" s="13" t="inlineStr">
        <is>
          <t>CY</t>
        </is>
      </c>
    </row>
    <row r="112">
      <c r="A112" s="13" t="inlineStr">
        <is>
          <t>Вешалка напольная металл. с плечиками Дархан №2 вальц.тр. краш.</t>
        </is>
      </c>
      <c r="B112" s="13" t="n">
        <v>130</v>
      </c>
      <c r="C112" s="13" t="n">
        <v>1041300</v>
      </c>
      <c r="D112" s="13" t="n">
        <v>0.002177654710653122</v>
      </c>
      <c r="E112" s="13" t="n">
        <v>0.9586618543768326</v>
      </c>
      <c r="F112" s="13" t="inlineStr">
        <is>
          <t>C</t>
        </is>
      </c>
      <c r="G112" s="13" t="inlineStr">
        <is>
          <t>Y</t>
        </is>
      </c>
      <c r="H112" s="13" t="inlineStr">
        <is>
          <t>CY</t>
        </is>
      </c>
    </row>
    <row r="113">
      <c r="A113" s="13" t="inlineStr">
        <is>
          <t>Кресло Мини-Гранде пневмо гобелен, кзам. пластик Multicolor</t>
        </is>
      </c>
      <c r="B113" s="13" t="n">
        <v>91</v>
      </c>
      <c r="C113" s="13" t="n">
        <v>998480</v>
      </c>
      <c r="D113" s="13" t="n">
        <v>0.002088105901750628</v>
      </c>
      <c r="E113" s="13" t="n">
        <v>0.9607499602785833</v>
      </c>
      <c r="F113" s="13" t="inlineStr">
        <is>
          <t>C</t>
        </is>
      </c>
      <c r="G113" s="13" t="inlineStr">
        <is>
          <t>Z</t>
        </is>
      </c>
      <c r="H113" s="13" t="inlineStr">
        <is>
          <t>CZ</t>
        </is>
      </c>
    </row>
    <row r="114">
      <c r="A114" s="13" t="inlineStr">
        <is>
          <t>Стул Триумф цв.Золото Гобелен/ кзам PVC</t>
        </is>
      </c>
      <c r="B114" s="13" t="n">
        <v>90</v>
      </c>
      <c r="C114" s="13" t="n">
        <v>968400</v>
      </c>
      <c r="D114" s="13" t="n">
        <v>0.002025200059345514</v>
      </c>
      <c r="E114" s="13" t="n">
        <v>0.9627751603379288</v>
      </c>
      <c r="F114" s="13" t="inlineStr">
        <is>
          <t>C</t>
        </is>
      </c>
      <c r="G114" s="13" t="inlineStr">
        <is>
          <t>Z</t>
        </is>
      </c>
      <c r="H114" s="13" t="inlineStr">
        <is>
          <t>CZ</t>
        </is>
      </c>
    </row>
    <row r="115">
      <c r="A115" s="13" t="inlineStr">
        <is>
          <t>Стул Тайлер цв.каркас гобелен/ кзам PVC НЕ БРАТЬ НА ЗАКАЗ!!</t>
        </is>
      </c>
      <c r="B115" s="13" t="n">
        <v>170</v>
      </c>
      <c r="C115" s="13" t="n">
        <v>906100</v>
      </c>
      <c r="D115" s="13" t="n">
        <v>0.001894913025374814</v>
      </c>
      <c r="E115" s="13" t="n">
        <v>0.9646700733633036</v>
      </c>
      <c r="F115" s="13" t="inlineStr">
        <is>
          <t>C</t>
        </is>
      </c>
      <c r="G115" s="13" t="inlineStr">
        <is>
          <t>Y</t>
        </is>
      </c>
      <c r="H115" s="13" t="inlineStr">
        <is>
          <t>CY</t>
        </is>
      </c>
    </row>
    <row r="116">
      <c r="A116" s="13" t="inlineStr">
        <is>
          <t>Стул Милан цв.каркас гоб.stock (только Bingo) бежевый</t>
        </is>
      </c>
      <c r="B116" s="13" t="n">
        <v>120</v>
      </c>
      <c r="C116" s="13" t="n">
        <v>880200</v>
      </c>
      <c r="D116" s="13" t="n">
        <v>0.001840748752825197</v>
      </c>
      <c r="E116" s="13" t="n">
        <v>0.9665108221161288</v>
      </c>
      <c r="F116" s="13" t="inlineStr">
        <is>
          <t>C</t>
        </is>
      </c>
      <c r="G116" s="13" t="inlineStr">
        <is>
          <t>Z</t>
        </is>
      </c>
      <c r="H116" s="13" t="inlineStr">
        <is>
          <t>CZ</t>
        </is>
      </c>
    </row>
    <row r="117">
      <c r="A117" s="13" t="inlineStr">
        <is>
          <t>Кресло Мини-гранде пневмо кзам черный</t>
        </is>
      </c>
      <c r="B117" s="13" t="n">
        <v>79</v>
      </c>
      <c r="C117" s="13" t="n">
        <v>868622</v>
      </c>
      <c r="D117" s="13" t="n">
        <v>0.001816535859096261</v>
      </c>
      <c r="E117" s="13" t="n">
        <v>0.9683273579752251</v>
      </c>
      <c r="F117" s="13" t="inlineStr">
        <is>
          <t>C</t>
        </is>
      </c>
      <c r="G117" s="13" t="inlineStr">
        <is>
          <t>Z</t>
        </is>
      </c>
      <c r="H117" s="13" t="inlineStr">
        <is>
          <t>CZ</t>
        </is>
      </c>
    </row>
    <row r="118">
      <c r="A118" s="13" t="inlineStr">
        <is>
          <t>Стул Мишель цв.каркас Гобелен/Кзам</t>
        </is>
      </c>
      <c r="B118" s="13" t="n">
        <v>133</v>
      </c>
      <c r="C118" s="13" t="n">
        <v>803985</v>
      </c>
      <c r="D118" s="13" t="n">
        <v>0.001681361492888169</v>
      </c>
      <c r="E118" s="13" t="n">
        <v>0.9700087194681133</v>
      </c>
      <c r="F118" s="13" t="inlineStr">
        <is>
          <t>C</t>
        </is>
      </c>
      <c r="G118" s="13" t="inlineStr">
        <is>
          <t>Y</t>
        </is>
      </c>
      <c r="H118" s="13" t="inlineStr">
        <is>
          <t>CY</t>
        </is>
      </c>
    </row>
    <row r="119">
      <c r="A119" s="13" t="inlineStr">
        <is>
          <t>Стул СМ А м/п Гобелен/Кзам</t>
        </is>
      </c>
      <c r="B119" s="13" t="n">
        <v>80</v>
      </c>
      <c r="C119" s="13" t="n">
        <v>799600</v>
      </c>
      <c r="D119" s="13" t="n">
        <v>0.001672191209678514</v>
      </c>
      <c r="E119" s="13" t="n">
        <v>0.9716809106777918</v>
      </c>
      <c r="F119" s="13" t="inlineStr">
        <is>
          <t>C</t>
        </is>
      </c>
      <c r="G119" s="13" t="inlineStr">
        <is>
          <t>Z</t>
        </is>
      </c>
      <c r="H119" s="13" t="inlineStr">
        <is>
          <t>CZ</t>
        </is>
      </c>
    </row>
    <row r="120">
      <c r="A120" s="13" t="inlineStr">
        <is>
          <t>Табурет Эконом квадратный гобелен/кзам</t>
        </is>
      </c>
      <c r="B120" s="13" t="n">
        <v>262</v>
      </c>
      <c r="C120" s="13" t="n">
        <v>778140</v>
      </c>
      <c r="D120" s="13" t="n">
        <v>0.001627312240994546</v>
      </c>
      <c r="E120" s="13" t="n">
        <v>0.9733082229187864</v>
      </c>
      <c r="F120" s="13" t="inlineStr">
        <is>
          <t>C</t>
        </is>
      </c>
      <c r="G120" s="13" t="inlineStr">
        <is>
          <t>X</t>
        </is>
      </c>
      <c r="H120" s="13" t="inlineStr">
        <is>
          <t>CX</t>
        </is>
      </c>
    </row>
    <row r="121">
      <c r="A121" s="13" t="inlineStr">
        <is>
          <t>Стул Аслан 1 м.эл. вальц.тр. цв.каркас Гобелен/Кзам</t>
        </is>
      </c>
      <c r="B121" s="13" t="n">
        <v>77</v>
      </c>
      <c r="C121" s="13" t="n">
        <v>750450</v>
      </c>
      <c r="D121" s="13" t="n">
        <v>0.001569404568913508</v>
      </c>
      <c r="E121" s="13" t="n">
        <v>0.9748776274876999</v>
      </c>
      <c r="F121" s="13" t="inlineStr">
        <is>
          <t>C</t>
        </is>
      </c>
      <c r="G121" s="13" t="inlineStr">
        <is>
          <t>Z</t>
        </is>
      </c>
      <c r="H121" s="13" t="inlineStr">
        <is>
          <t>CZ</t>
        </is>
      </c>
    </row>
    <row r="122">
      <c r="A122" s="13" t="inlineStr">
        <is>
          <t>Стул Милан цв.каркас гоб.stock (только Bingo) коричневый</t>
        </is>
      </c>
      <c r="B122" s="13" t="n">
        <v>100</v>
      </c>
      <c r="C122" s="13" t="n">
        <v>733500</v>
      </c>
      <c r="D122" s="13" t="n">
        <v>0.001533957294020998</v>
      </c>
      <c r="E122" s="13" t="n">
        <v>0.9764115847817209</v>
      </c>
      <c r="F122" s="13" t="inlineStr">
        <is>
          <t>C</t>
        </is>
      </c>
      <c r="G122" s="13" t="inlineStr">
        <is>
          <t>Z</t>
        </is>
      </c>
      <c r="H122" s="13" t="inlineStr">
        <is>
          <t>CZ</t>
        </is>
      </c>
    </row>
    <row r="123">
      <c r="A123" s="13" t="inlineStr">
        <is>
          <t>Стул Милан цв.каркас гоб.stock (только Bingo) серый</t>
        </is>
      </c>
      <c r="B123" s="13" t="n">
        <v>100</v>
      </c>
      <c r="C123" s="13" t="n">
        <v>733500</v>
      </c>
      <c r="D123" s="13" t="n">
        <v>0.001533957294020998</v>
      </c>
      <c r="E123" s="13" t="n">
        <v>0.9779455420757418</v>
      </c>
      <c r="F123" s="13" t="inlineStr">
        <is>
          <t>C</t>
        </is>
      </c>
      <c r="G123" s="13" t="inlineStr">
        <is>
          <t>Z</t>
        </is>
      </c>
      <c r="H123" s="13" t="inlineStr">
        <is>
          <t>CZ</t>
        </is>
      </c>
    </row>
    <row r="124">
      <c r="A124" s="13" t="inlineStr">
        <is>
          <t>Урна металл. Классика вальц.тр. м/п краш.</t>
        </is>
      </c>
      <c r="B124" s="13" t="n">
        <v>101</v>
      </c>
      <c r="C124" s="13" t="n">
        <v>718110</v>
      </c>
      <c r="D124" s="13" t="n">
        <v>0.001501772423189392</v>
      </c>
      <c r="E124" s="13" t="n">
        <v>0.9794473144989312</v>
      </c>
      <c r="F124" s="13" t="inlineStr">
        <is>
          <t>C</t>
        </is>
      </c>
      <c r="G124" s="13" t="inlineStr">
        <is>
          <t>Z</t>
        </is>
      </c>
      <c r="H124" s="13" t="inlineStr">
        <is>
          <t>CZ</t>
        </is>
      </c>
    </row>
    <row r="125">
      <c r="A125" s="13" t="inlineStr">
        <is>
          <t>Вешалка напольная металл. Ретро вальц.тр. краш.</t>
        </is>
      </c>
      <c r="B125" s="13" t="n">
        <v>100</v>
      </c>
      <c r="C125" s="13" t="n">
        <v>693500</v>
      </c>
      <c r="D125" s="13" t="n">
        <v>0.001450305907843984</v>
      </c>
      <c r="E125" s="13" t="n">
        <v>0.9808976204067752</v>
      </c>
      <c r="F125" s="13" t="inlineStr">
        <is>
          <t>C</t>
        </is>
      </c>
      <c r="G125" s="13" t="inlineStr">
        <is>
          <t>Z</t>
        </is>
      </c>
      <c r="H125" s="13" t="inlineStr">
        <is>
          <t>CZ</t>
        </is>
      </c>
    </row>
    <row r="126">
      <c r="A126" s="13" t="inlineStr">
        <is>
          <t>Штатив под капельницу на колесах м/п</t>
        </is>
      </c>
      <c r="B126" s="13" t="n">
        <v>148</v>
      </c>
      <c r="C126" s="13" t="n">
        <v>688940</v>
      </c>
      <c r="D126" s="13" t="n">
        <v>0.001440769649819804</v>
      </c>
      <c r="E126" s="13" t="n">
        <v>0.982338390056595</v>
      </c>
      <c r="F126" s="13" t="inlineStr">
        <is>
          <t>C</t>
        </is>
      </c>
      <c r="G126" s="13" t="inlineStr">
        <is>
          <t>Y</t>
        </is>
      </c>
      <c r="H126" s="13" t="inlineStr">
        <is>
          <t>CY</t>
        </is>
      </c>
    </row>
    <row r="127">
      <c r="A127" s="13" t="inlineStr">
        <is>
          <t>Мягкий элемент Лукас гобелен</t>
        </is>
      </c>
      <c r="B127" s="13" t="n">
        <v>430</v>
      </c>
      <c r="C127" s="13" t="n">
        <v>688000</v>
      </c>
      <c r="D127" s="13" t="n">
        <v>0.001438803842244644</v>
      </c>
      <c r="E127" s="13" t="n">
        <v>0.9837771938988396</v>
      </c>
      <c r="F127" s="13" t="inlineStr">
        <is>
          <t>C</t>
        </is>
      </c>
      <c r="G127" s="13" t="inlineStr">
        <is>
          <t>X</t>
        </is>
      </c>
      <c r="H127" s="13" t="inlineStr">
        <is>
          <t>CX</t>
        </is>
      </c>
    </row>
    <row r="128">
      <c r="A128" s="13" t="inlineStr">
        <is>
          <t>Вешалка напольная металл. Ёлка краш.</t>
        </is>
      </c>
      <c r="B128" s="13" t="n">
        <v>130</v>
      </c>
      <c r="C128" s="13" t="n">
        <v>654550</v>
      </c>
      <c r="D128" s="13" t="n">
        <v>0.001368850370554116</v>
      </c>
      <c r="E128" s="13" t="n">
        <v>0.9851460442693937</v>
      </c>
      <c r="F128" s="13" t="inlineStr">
        <is>
          <t>C</t>
        </is>
      </c>
      <c r="G128" s="13" t="inlineStr">
        <is>
          <t>Y</t>
        </is>
      </c>
      <c r="H128" s="13" t="inlineStr">
        <is>
          <t>CY</t>
        </is>
      </c>
    </row>
    <row r="129">
      <c r="A129" s="13" t="inlineStr">
        <is>
          <t>Урна металл. Пепельница м/п краш.</t>
        </is>
      </c>
      <c r="B129" s="13" t="n">
        <v>110</v>
      </c>
      <c r="C129" s="13" t="n">
        <v>624800</v>
      </c>
      <c r="D129" s="13" t="n">
        <v>0.001306634652084962</v>
      </c>
      <c r="E129" s="13" t="n">
        <v>0.9864526789214786</v>
      </c>
      <c r="F129" s="13" t="inlineStr">
        <is>
          <t>C</t>
        </is>
      </c>
      <c r="G129" s="13" t="inlineStr">
        <is>
          <t>Z</t>
        </is>
      </c>
      <c r="H129" s="13" t="inlineStr">
        <is>
          <t>CZ</t>
        </is>
      </c>
    </row>
    <row r="130">
      <c r="A130" s="13" t="inlineStr">
        <is>
          <t>Табурет большой 300*300*500</t>
        </is>
      </c>
      <c r="B130" s="13" t="n">
        <v>344</v>
      </c>
      <c r="C130" s="13" t="n">
        <v>615760</v>
      </c>
      <c r="D130" s="13" t="n">
        <v>0.001287729438808957</v>
      </c>
      <c r="E130" s="13" t="n">
        <v>0.9877404083602875</v>
      </c>
      <c r="F130" s="13" t="inlineStr">
        <is>
          <t>C</t>
        </is>
      </c>
      <c r="G130" s="13" t="inlineStr">
        <is>
          <t>X</t>
        </is>
      </c>
      <c r="H130" s="13" t="inlineStr">
        <is>
          <t>CX</t>
        </is>
      </c>
    </row>
    <row r="131">
      <c r="A131" s="13" t="inlineStr">
        <is>
          <t>Стул Моцарт цв.каркас Кожзам АОД/ГОБ.Stock</t>
        </is>
      </c>
      <c r="B131" s="13" t="n">
        <v>108</v>
      </c>
      <c r="C131" s="13" t="n">
        <v>613440</v>
      </c>
      <c r="D131" s="13" t="n">
        <v>0.00128287765841069</v>
      </c>
      <c r="E131" s="13" t="n">
        <v>0.9890232860186983</v>
      </c>
      <c r="F131" s="13" t="inlineStr">
        <is>
          <t>C</t>
        </is>
      </c>
      <c r="G131" s="13" t="inlineStr">
        <is>
          <t>Z</t>
        </is>
      </c>
      <c r="H131" s="13" t="inlineStr">
        <is>
          <t>CZ</t>
        </is>
      </c>
    </row>
    <row r="132">
      <c r="A132" s="13" t="inlineStr">
        <is>
          <t>Вешалка напольная металл. Санс краш.</t>
        </is>
      </c>
      <c r="B132" s="13" t="n">
        <v>114</v>
      </c>
      <c r="C132" s="13" t="n">
        <v>536370</v>
      </c>
      <c r="D132" s="13" t="n">
        <v>0.001121702350094128</v>
      </c>
      <c r="E132" s="13" t="n">
        <v>0.9901449883687924</v>
      </c>
      <c r="F132" s="13" t="inlineStr">
        <is>
          <t>C</t>
        </is>
      </c>
      <c r="G132" s="13" t="inlineStr">
        <is>
          <t>Z</t>
        </is>
      </c>
      <c r="H132" s="13" t="inlineStr">
        <is>
          <t>CZ</t>
        </is>
      </c>
    </row>
    <row r="133">
      <c r="A133" s="13" t="inlineStr">
        <is>
          <t>Вешалка напольная металл. Герань краш.</t>
        </is>
      </c>
      <c r="B133" s="13" t="n">
        <v>90</v>
      </c>
      <c r="C133" s="13" t="n">
        <v>502200</v>
      </c>
      <c r="D133" s="13" t="n">
        <v>0.001050243153452413</v>
      </c>
      <c r="E133" s="13" t="n">
        <v>0.9911952315222448</v>
      </c>
      <c r="F133" s="13" t="inlineStr">
        <is>
          <t>C</t>
        </is>
      </c>
      <c r="G133" s="13" t="inlineStr">
        <is>
          <t>Z</t>
        </is>
      </c>
      <c r="H133" s="13" t="inlineStr">
        <is>
          <t>CZ</t>
        </is>
      </c>
    </row>
    <row r="134">
      <c r="A134" s="13" t="inlineStr">
        <is>
          <t>Табурет Эконом квадратный пэчворк</t>
        </is>
      </c>
      <c r="B134" s="13" t="n">
        <v>160</v>
      </c>
      <c r="C134" s="13" t="n">
        <v>475200</v>
      </c>
      <c r="D134" s="13" t="n">
        <v>0.0009937784677829288</v>
      </c>
      <c r="E134" s="13" t="n">
        <v>0.9921890099900277</v>
      </c>
      <c r="F134" s="13" t="inlineStr">
        <is>
          <t>C</t>
        </is>
      </c>
      <c r="G134" s="13" t="inlineStr">
        <is>
          <t>Y</t>
        </is>
      </c>
      <c r="H134" s="13" t="inlineStr">
        <is>
          <t>CY</t>
        </is>
      </c>
    </row>
    <row r="135">
      <c r="A135" s="13" t="inlineStr">
        <is>
          <t>Стул Наурыз цв.каркас Гобелен/Кзам</t>
        </is>
      </c>
      <c r="B135" s="13" t="n">
        <v>94</v>
      </c>
      <c r="C135" s="13" t="n">
        <v>431930</v>
      </c>
      <c r="D135" s="13" t="n">
        <v>0.0009032885807859437</v>
      </c>
      <c r="E135" s="13" t="n">
        <v>0.9930922985708136</v>
      </c>
      <c r="F135" s="13" t="inlineStr">
        <is>
          <t>C</t>
        </is>
      </c>
      <c r="G135" s="13" t="inlineStr">
        <is>
          <t>Z</t>
        </is>
      </c>
      <c r="H135" s="13" t="inlineStr">
        <is>
          <t>CZ</t>
        </is>
      </c>
    </row>
    <row r="136">
      <c r="A136" s="13" t="inlineStr">
        <is>
          <t>Вешалка напольная металл. Илама Эконом краш.</t>
        </is>
      </c>
      <c r="B136" s="13" t="n">
        <v>100</v>
      </c>
      <c r="C136" s="13" t="n">
        <v>393000</v>
      </c>
      <c r="D136" s="13" t="n">
        <v>0.0008218748691891645</v>
      </c>
      <c r="E136" s="13" t="n">
        <v>0.9939141734400028</v>
      </c>
      <c r="F136" s="13" t="inlineStr">
        <is>
          <t>C</t>
        </is>
      </c>
      <c r="G136" s="13" t="inlineStr">
        <is>
          <t>Z</t>
        </is>
      </c>
      <c r="H136" s="13" t="inlineStr">
        <is>
          <t>CZ</t>
        </is>
      </c>
    </row>
    <row r="137">
      <c r="A137" s="13" t="inlineStr">
        <is>
          <t>Табурет Эконом круглый пэчворк</t>
        </is>
      </c>
      <c r="B137" s="13" t="n">
        <v>160</v>
      </c>
      <c r="C137" s="13" t="n">
        <v>384800</v>
      </c>
      <c r="D137" s="13" t="n">
        <v>0.0008047263350228766</v>
      </c>
      <c r="E137" s="13" t="n">
        <v>0.9947188997750257</v>
      </c>
      <c r="F137" s="13" t="inlineStr">
        <is>
          <t>C</t>
        </is>
      </c>
      <c r="G137" s="13" t="inlineStr">
        <is>
          <t>Y</t>
        </is>
      </c>
      <c r="H137" s="13" t="inlineStr">
        <is>
          <t>CY</t>
        </is>
      </c>
    </row>
    <row r="138">
      <c r="A138" s="13" t="inlineStr">
        <is>
          <t>Подставка для цветов "Лебедь" краш.</t>
        </is>
      </c>
      <c r="B138" s="13" t="n">
        <v>81</v>
      </c>
      <c r="C138" s="13" t="n">
        <v>383940</v>
      </c>
      <c r="D138" s="13" t="n">
        <v>0.0008029278302200708</v>
      </c>
      <c r="E138" s="13" t="n">
        <v>0.9955218276052458</v>
      </c>
      <c r="F138" s="13" t="inlineStr">
        <is>
          <t>C</t>
        </is>
      </c>
      <c r="G138" s="13" t="inlineStr">
        <is>
          <t>Z</t>
        </is>
      </c>
      <c r="H138" s="13" t="inlineStr">
        <is>
          <t>CZ</t>
        </is>
      </c>
    </row>
    <row r="139">
      <c r="A139" s="13" t="inlineStr">
        <is>
          <t>Табурет квадратный (тр.20*20) гобелен/кзам</t>
        </is>
      </c>
      <c r="B139" s="13" t="n">
        <v>100</v>
      </c>
      <c r="C139" s="13" t="n">
        <v>307500</v>
      </c>
      <c r="D139" s="13" t="n">
        <v>0.0006430700312357966</v>
      </c>
      <c r="E139" s="13" t="n">
        <v>0.9961648976364815</v>
      </c>
      <c r="F139" s="13" t="inlineStr">
        <is>
          <t>C</t>
        </is>
      </c>
      <c r="G139" s="13" t="inlineStr">
        <is>
          <t>Z</t>
        </is>
      </c>
      <c r="H139" s="13" t="inlineStr">
        <is>
          <t>CZ</t>
        </is>
      </c>
    </row>
    <row r="140">
      <c r="A140" s="13" t="inlineStr">
        <is>
          <t>Табурет Эконом квадратный кзам PU/гоб.stock</t>
        </is>
      </c>
      <c r="B140" s="13" t="n">
        <v>100</v>
      </c>
      <c r="C140" s="13" t="n">
        <v>259500</v>
      </c>
      <c r="D140" s="13" t="n">
        <v>0.0005426883678233797</v>
      </c>
      <c r="E140" s="13" t="n">
        <v>0.9967075860043049</v>
      </c>
      <c r="F140" s="13" t="inlineStr">
        <is>
          <t>C</t>
        </is>
      </c>
      <c r="G140" s="13" t="inlineStr">
        <is>
          <t>Z</t>
        </is>
      </c>
      <c r="H140" s="13" t="inlineStr">
        <is>
          <t>CZ</t>
        </is>
      </c>
    </row>
    <row r="141">
      <c r="A141" s="13" t="inlineStr">
        <is>
          <t>Табурет Эконом круглый кзам PU/гоб.stock</t>
        </is>
      </c>
      <c r="B141" s="13" t="n">
        <v>100</v>
      </c>
      <c r="C141" s="13" t="n">
        <v>259500</v>
      </c>
      <c r="D141" s="13" t="n">
        <v>0.0005426883678233797</v>
      </c>
      <c r="E141" s="13" t="n">
        <v>0.9972502743721282</v>
      </c>
      <c r="F141" s="13" t="inlineStr">
        <is>
          <t>C</t>
        </is>
      </c>
      <c r="G141" s="13" t="inlineStr">
        <is>
          <t>Z</t>
        </is>
      </c>
      <c r="H141" s="13" t="inlineStr">
        <is>
          <t>CZ</t>
        </is>
      </c>
    </row>
    <row r="142">
      <c r="A142" s="13" t="inlineStr">
        <is>
          <t>Табурет детский 300*300*250</t>
        </is>
      </c>
      <c r="B142" s="13" t="n">
        <v>206</v>
      </c>
      <c r="C142" s="13" t="n">
        <v>250290</v>
      </c>
      <c r="D142" s="13" t="n">
        <v>0.0005234276361561222</v>
      </c>
      <c r="E142" s="13" t="n">
        <v>0.9977737020082843</v>
      </c>
      <c r="F142" s="13" t="inlineStr">
        <is>
          <t>C</t>
        </is>
      </c>
      <c r="G142" s="13" t="inlineStr">
        <is>
          <t>Y</t>
        </is>
      </c>
      <c r="H142" s="13" t="inlineStr">
        <is>
          <t>CY</t>
        </is>
      </c>
    </row>
    <row r="143">
      <c r="A143" s="13" t="inlineStr">
        <is>
          <t>Мягкий элемент на завязках Гранд гобелен</t>
        </is>
      </c>
      <c r="B143" s="13" t="n">
        <v>140</v>
      </c>
      <c r="C143" s="13" t="n">
        <v>234500</v>
      </c>
      <c r="D143" s="13" t="n">
        <v>0.0004904062514627458</v>
      </c>
      <c r="E143" s="13" t="n">
        <v>0.9982641082597471</v>
      </c>
      <c r="F143" s="13" t="inlineStr">
        <is>
          <t>C</t>
        </is>
      </c>
      <c r="G143" s="13" t="inlineStr">
        <is>
          <t>Y</t>
        </is>
      </c>
      <c r="H143" s="13" t="inlineStr">
        <is>
          <t>CY</t>
        </is>
      </c>
    </row>
    <row r="144">
      <c r="A144" s="13" t="inlineStr">
        <is>
          <t>Подушка "Карандаш" м/п</t>
        </is>
      </c>
      <c r="B144" s="13" t="n">
        <v>221</v>
      </c>
      <c r="C144" s="13" t="n">
        <v>165750</v>
      </c>
      <c r="D144" s="13" t="n">
        <v>0.0003466304314710026</v>
      </c>
      <c r="E144" s="13" t="n">
        <v>0.9986107386912181</v>
      </c>
      <c r="F144" s="13" t="inlineStr">
        <is>
          <t>C</t>
        </is>
      </c>
      <c r="G144" s="13" t="inlineStr">
        <is>
          <t>Y</t>
        </is>
      </c>
      <c r="H144" s="13" t="inlineStr">
        <is>
          <t>CY</t>
        </is>
      </c>
    </row>
    <row r="145">
      <c r="A145" s="13" t="inlineStr">
        <is>
          <t>Мягкий элемент на шнурках Моника d37 на табурет</t>
        </is>
      </c>
      <c r="B145" s="13" t="n">
        <v>110</v>
      </c>
      <c r="C145" s="13" t="n">
        <v>146850</v>
      </c>
      <c r="D145" s="13" t="n">
        <v>0.0003071051515023634</v>
      </c>
      <c r="E145" s="13" t="n">
        <v>0.9989178438427204</v>
      </c>
      <c r="F145" s="13" t="inlineStr">
        <is>
          <t>C</t>
        </is>
      </c>
      <c r="G145" s="13" t="inlineStr">
        <is>
          <t>Z</t>
        </is>
      </c>
      <c r="H145" s="13" t="inlineStr">
        <is>
          <t>CZ</t>
        </is>
      </c>
    </row>
    <row r="146">
      <c r="A146" s="13" t="inlineStr">
        <is>
          <t>Мягкий элемент Пэчворк (КУЛ)</t>
        </is>
      </c>
      <c r="B146" s="13" t="n">
        <v>100</v>
      </c>
      <c r="C146" s="13" t="n">
        <v>138000</v>
      </c>
      <c r="D146" s="13" t="n">
        <v>0.000288597282310699</v>
      </c>
      <c r="E146" s="13" t="n">
        <v>0.9992064411250311</v>
      </c>
      <c r="F146" s="13" t="inlineStr">
        <is>
          <t>C</t>
        </is>
      </c>
      <c r="G146" s="13" t="inlineStr">
        <is>
          <t>Z</t>
        </is>
      </c>
      <c r="H146" s="13" t="inlineStr">
        <is>
          <t>CZ</t>
        </is>
      </c>
    </row>
    <row r="147">
      <c r="A147" s="13" t="inlineStr">
        <is>
          <t>Отходы (в кг)</t>
        </is>
      </c>
      <c r="B147" s="13" t="n">
        <v>2924</v>
      </c>
      <c r="C147" s="13" t="n">
        <v>116960</v>
      </c>
      <c r="D147" s="13" t="n">
        <v>0.0002445966531815895</v>
      </c>
      <c r="E147" s="13" t="n">
        <v>0.9994510377782126</v>
      </c>
      <c r="F147" s="13" t="inlineStr">
        <is>
          <t>C</t>
        </is>
      </c>
      <c r="G147" s="13" t="inlineStr">
        <is>
          <t>X</t>
        </is>
      </c>
      <c r="H147" s="13" t="inlineStr">
        <is>
          <t>CX</t>
        </is>
      </c>
    </row>
    <row r="148">
      <c r="A148" s="13" t="inlineStr">
        <is>
          <t>Подушка "Мяч" м/п</t>
        </is>
      </c>
      <c r="B148" s="13" t="n">
        <v>93</v>
      </c>
      <c r="C148" s="13" t="n">
        <v>116250</v>
      </c>
      <c r="D148" s="13" t="n">
        <v>0.0002431118410769475</v>
      </c>
      <c r="E148" s="13" t="n">
        <v>0.9996941496192896</v>
      </c>
      <c r="F148" s="13" t="inlineStr">
        <is>
          <t>C</t>
        </is>
      </c>
      <c r="G148" s="13" t="inlineStr">
        <is>
          <t>Z</t>
        </is>
      </c>
      <c r="H148" s="13" t="inlineStr">
        <is>
          <t>CZ</t>
        </is>
      </c>
    </row>
    <row r="149">
      <c r="A149" s="13" t="inlineStr">
        <is>
          <t>Колесо для кресел пласт. 11 мм</t>
        </is>
      </c>
      <c r="B149" s="13" t="n">
        <v>168</v>
      </c>
      <c r="C149" s="13" t="n">
        <v>63840</v>
      </c>
      <c r="D149" s="13" t="n">
        <v>0.0001335076123385147</v>
      </c>
      <c r="E149" s="13" t="n">
        <v>0.9998276572316281</v>
      </c>
      <c r="F149" s="13" t="inlineStr">
        <is>
          <t>C</t>
        </is>
      </c>
      <c r="G149" s="13" t="inlineStr">
        <is>
          <t>Y</t>
        </is>
      </c>
      <c r="H149" s="13" t="inlineStr">
        <is>
          <t>CY</t>
        </is>
      </c>
    </row>
    <row r="150">
      <c r="A150" s="13" t="inlineStr">
        <is>
          <t>Колесо для кресел полиуретан JLф50 (белый)</t>
        </is>
      </c>
      <c r="B150" s="13" t="n">
        <v>205</v>
      </c>
      <c r="C150" s="13" t="n">
        <v>47450</v>
      </c>
      <c r="D150" s="13" t="n">
        <v>9.92314568524831e-05</v>
      </c>
      <c r="E150" s="13" t="n">
        <v>0.9999268886884807</v>
      </c>
      <c r="F150" s="13" t="inlineStr">
        <is>
          <t>C</t>
        </is>
      </c>
      <c r="G150" s="13" t="inlineStr">
        <is>
          <t>Y</t>
        </is>
      </c>
      <c r="H150" s="13" t="inlineStr">
        <is>
          <t>CY</t>
        </is>
      </c>
    </row>
    <row r="151">
      <c r="A151" s="13" t="inlineStr">
        <is>
          <t>Отходы пластика</t>
        </is>
      </c>
      <c r="B151" s="13" t="n">
        <v>874</v>
      </c>
      <c r="C151" s="13" t="n">
        <v>34960</v>
      </c>
      <c r="D151" s="13" t="n">
        <v>7.311131151871042e-05</v>
      </c>
      <c r="E151" s="13" t="n">
        <v>0.9999999999999993</v>
      </c>
      <c r="F151" s="13" t="inlineStr">
        <is>
          <t>C</t>
        </is>
      </c>
      <c r="G151" s="13" t="inlineStr">
        <is>
          <t>X</t>
        </is>
      </c>
      <c r="H151" s="13" t="inlineStr">
        <is>
          <t>CX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2026-06-25T05:40:17Z</dcterms:created>
  <dcterms:modified xmlns:dcterms="http://purl.org/dc/terms/" xmlns:xsi="http://www.w3.org/2001/XMLSchema-instance" xsi:type="dcterms:W3CDTF">2026-06-30T12:00:21Z</dcterms:modified>
  <cp:lastModifiedBy>Мурат Легенда</cp:lastModifiedBy>
</cp:coreProperties>
</file>