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nat01\Desktop\"/>
    </mc:Choice>
  </mc:AlternateContent>
  <xr:revisionPtr revIDLastSave="0" documentId="13_ncr:1_{1ADFCC30-D102-4F63-9969-93980113EB1B}" xr6:coauthVersionLast="37" xr6:coauthVersionMax="37" xr10:uidLastSave="{00000000-0000-0000-0000-000000000000}"/>
  <bookViews>
    <workbookView xWindow="0" yWindow="0" windowWidth="24720" windowHeight="11625" xr2:uid="{00000000-000D-0000-FFFF-FFFF00000000}"/>
  </bookViews>
  <sheets>
    <sheet name="ABC_Product" sheetId="1" r:id="rId1"/>
    <sheet name="ABC_XYZ_Prodact" sheetId="4" r:id="rId2"/>
    <sheet name="БРАК" sheetId="5" r:id="rId3"/>
    <sheet name="ABC_Clients" sheetId="2" r:id="rId4"/>
    <sheet name="Ower_Dashboard ABC+Clients" sheetId="3" r:id="rId5"/>
    <sheet name=" Ower_Dashboard ABC+XYZ" sheetId="6" r:id="rId6"/>
  </sheets>
  <calcPr calcId="179021"/>
</workbook>
</file>

<file path=xl/calcChain.xml><?xml version="1.0" encoding="utf-8"?>
<calcChain xmlns="http://schemas.openxmlformats.org/spreadsheetml/2006/main">
  <c r="P4" i="4" l="1"/>
  <c r="O4" i="4"/>
  <c r="E4" i="4"/>
  <c r="F4" i="4" s="1"/>
  <c r="P3" i="4"/>
  <c r="O3" i="4"/>
  <c r="E3" i="4"/>
  <c r="F3" i="4" s="1"/>
  <c r="P2" i="4"/>
  <c r="Q2" i="4" s="1"/>
  <c r="R2" i="4" s="1"/>
  <c r="O2" i="4"/>
  <c r="F2" i="4"/>
  <c r="G2" i="4" s="1"/>
  <c r="E2" i="4"/>
  <c r="I3" i="2"/>
  <c r="G3" i="2"/>
  <c r="I2" i="2"/>
  <c r="G2" i="2"/>
  <c r="G7" i="1"/>
  <c r="H6" i="1"/>
  <c r="G6" i="1"/>
  <c r="G5" i="1"/>
  <c r="Q4" i="4" l="1"/>
  <c r="R4" i="4" s="1"/>
  <c r="Q3" i="4"/>
  <c r="R3" i="4" s="1"/>
  <c r="G3" i="4"/>
  <c r="H2" i="4"/>
  <c r="S2" i="4" s="1"/>
  <c r="H5" i="1"/>
  <c r="H7" i="1"/>
  <c r="G4" i="4" l="1"/>
  <c r="H4" i="4" s="1"/>
  <c r="S4" i="4" s="1"/>
  <c r="H3" i="4"/>
  <c r="S3" i="4" s="1"/>
  <c r="I6" i="1"/>
  <c r="I7" i="1"/>
  <c r="K6" i="1"/>
  <c r="K5" i="1"/>
  <c r="J6" i="1"/>
  <c r="J7" i="1"/>
  <c r="K7" i="1"/>
  <c r="J3" i="2"/>
  <c r="L3" i="2"/>
  <c r="G13" i="1"/>
  <c r="I5" i="1"/>
  <c r="J5" i="1"/>
  <c r="L2" i="2"/>
  <c r="F10" i="2"/>
  <c r="J2" i="2"/>
  <c r="K2" i="2"/>
  <c r="K3" i="2"/>
</calcChain>
</file>

<file path=xl/sharedStrings.xml><?xml version="1.0" encoding="utf-8"?>
<sst xmlns="http://schemas.openxmlformats.org/spreadsheetml/2006/main" count="149" uniqueCount="106">
  <si>
    <t>SKU</t>
  </si>
  <si>
    <t>Наименование</t>
  </si>
  <si>
    <t>Категория</t>
  </si>
  <si>
    <t>Продажи (шт)</t>
  </si>
  <si>
    <t>Выручка</t>
  </si>
  <si>
    <t>Себестоимость</t>
  </si>
  <si>
    <t>Валовая прибыль</t>
  </si>
  <si>
    <t>Маржа %</t>
  </si>
  <si>
    <t>Доля прибыли %</t>
  </si>
  <si>
    <t>Накопительно %</t>
  </si>
  <si>
    <t>Категория ABC</t>
  </si>
  <si>
    <t>SKU001</t>
  </si>
  <si>
    <t>Диван Loft</t>
  </si>
  <si>
    <t>Диваны</t>
  </si>
  <si>
    <t>SKU002</t>
  </si>
  <si>
    <t>Стол Office</t>
  </si>
  <si>
    <t>Офис</t>
  </si>
  <si>
    <t>SKU003</t>
  </si>
  <si>
    <t>Кресло Soft</t>
  </si>
  <si>
    <t>Кресла</t>
  </si>
  <si>
    <t>Клиент</t>
  </si>
  <si>
    <t>Канал</t>
  </si>
  <si>
    <t>Кол-во заказов</t>
  </si>
  <si>
    <t>Дебиторка</t>
  </si>
  <si>
    <t>Средний чек</t>
  </si>
  <si>
    <t>Клиент A</t>
  </si>
  <si>
    <t>Опт</t>
  </si>
  <si>
    <t>Клиент B</t>
  </si>
  <si>
    <t>Магазин</t>
  </si>
  <si>
    <t>Метрика</t>
  </si>
  <si>
    <t>Описание</t>
  </si>
  <si>
    <t>Топ 20 SKU</t>
  </si>
  <si>
    <t>80% прибыли</t>
  </si>
  <si>
    <t>Топ 10 клиентов</t>
  </si>
  <si>
    <t>Dead Stock</t>
  </si>
  <si>
    <t>&gt;90 дней</t>
  </si>
  <si>
    <t>Убыточные SKU</t>
  </si>
  <si>
    <t>Profit &lt; 0</t>
  </si>
  <si>
    <t>Убыточные клиенты</t>
  </si>
  <si>
    <t>Net Profit &lt; 0</t>
  </si>
  <si>
    <t>Выручка - Себестоимость</t>
  </si>
  <si>
    <t>Валовая прибыль / Выручка</t>
  </si>
  <si>
    <t>Валовая прибыль SKU / Общая валовая прибыль</t>
  </si>
  <si>
    <t>предыдущий % + текущий %</t>
  </si>
  <si>
    <t>ЕСЛИ(J2&lt;=80%;"A";ЕСЛИ(J2&lt;=95%;"B";"C"))</t>
  </si>
  <si>
    <t>ТЕМИРСАК</t>
  </si>
  <si>
    <t>с 01.01.2026 - 01.07.2026</t>
  </si>
  <si>
    <t>D2-E2</t>
  </si>
  <si>
    <t>F2/D2</t>
  </si>
  <si>
    <t>D2/C2</t>
  </si>
  <si>
    <t>F2/$F$1000</t>
  </si>
  <si>
    <t>J2</t>
  </si>
  <si>
    <t>след:</t>
  </si>
  <si>
    <t>K2+J3</t>
  </si>
  <si>
    <t>IF(K2&lt;=0.8,"A",IF(K2&lt;=0.95,"B","C"))</t>
  </si>
  <si>
    <t>Перед расчетом обязательно:
сортировка по столбцу F (Валовая прибыль) от большего к меньшему
Иначе ABC будет неверный.</t>
  </si>
  <si>
    <t>Логика:
A = первые 80% прибыли
B = до 95%
C = всё остальное</t>
  </si>
  <si>
    <t>Накопительный %</t>
  </si>
  <si>
    <t>ABC</t>
  </si>
  <si>
    <t>Jan</t>
  </si>
  <si>
    <t>Feb</t>
  </si>
  <si>
    <t>Mar</t>
  </si>
  <si>
    <t>Apr</t>
  </si>
  <si>
    <t>May</t>
  </si>
  <si>
    <t>Jun</t>
  </si>
  <si>
    <t>CV</t>
  </si>
  <si>
    <t>XYZ</t>
  </si>
  <si>
    <t>Матрица</t>
  </si>
  <si>
    <t>Продано</t>
  </si>
  <si>
    <t>Брак</t>
  </si>
  <si>
    <t>Возврат</t>
  </si>
  <si>
    <t>% Брака</t>
  </si>
  <si>
    <t>% Возврата</t>
  </si>
  <si>
    <t>Маржа</t>
  </si>
  <si>
    <t>Решение</t>
  </si>
  <si>
    <t>A</t>
  </si>
  <si>
    <t>X</t>
  </si>
  <si>
    <t>AX</t>
  </si>
  <si>
    <t>2%</t>
  </si>
  <si>
    <t>35%</t>
  </si>
  <si>
    <t>Z</t>
  </si>
  <si>
    <t>AZ</t>
  </si>
  <si>
    <t>8%</t>
  </si>
  <si>
    <t>32%</t>
  </si>
  <si>
    <t>C</t>
  </si>
  <si>
    <t>CZ</t>
  </si>
  <si>
    <t>12%</t>
  </si>
  <si>
    <t>Формулы уже встроены.</t>
  </si>
  <si>
    <t>StdDev (стандартное отклонение)</t>
  </si>
  <si>
    <t>Р - стандартное отклонение - насколько продажи “гуляют” вокруг среднего (насколько спрос нестабилен)</t>
  </si>
  <si>
    <t>Как расшифровывать CV</t>
  </si>
  <si>
    <t>Что значит</t>
  </si>
  <si>
    <t>0–10%</t>
  </si>
  <si>
    <t>очень стабильный</t>
  </si>
  <si>
    <t>10–25%</t>
  </si>
  <si>
    <t>Y</t>
  </si>
  <si>
    <t>средняя стабильность</t>
  </si>
  <si>
    <t>&gt;25%</t>
  </si>
  <si>
    <t>хаотичный спрос</t>
  </si>
  <si>
    <t xml:space="preserve">Логика:
</t>
  </si>
  <si>
    <t>Высокая прибыль + низкий CV = идеальный товар Это:АХ</t>
  </si>
  <si>
    <t>CV (коэфф. вариации)</t>
  </si>
  <si>
    <t>Среднее, продается за период</t>
  </si>
  <si>
    <t>Держать</t>
  </si>
  <si>
    <t>Наблюдать</t>
  </si>
  <si>
    <t>Удалять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</si>
</sst>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workbookViewId="0">
      <selection activeCell="B12" sqref="B12"/>
    </sheetView>
  </sheetViews>
  <sheetFormatPr defaultRowHeight="15" x14ac:dyDescent="0.25"/>
  <cols>
    <col min="1" max="1" width="10" customWidth="1"/>
    <col min="2" max="2" width="16" customWidth="1"/>
    <col min="3" max="3" width="13" customWidth="1"/>
    <col min="4" max="4" width="16" customWidth="1"/>
    <col min="5" max="5" width="12" customWidth="1"/>
    <col min="6" max="6" width="17" customWidth="1"/>
    <col min="7" max="7" width="25.85546875" customWidth="1"/>
    <col min="8" max="8" width="26.5703125" customWidth="1"/>
    <col min="9" max="9" width="21.28515625" customWidth="1"/>
    <col min="10" max="10" width="18" customWidth="1"/>
    <col min="11" max="11" width="25.28515625" customWidth="1"/>
  </cols>
  <sheetData>
    <row r="1" spans="1:11" x14ac:dyDescent="0.25">
      <c r="A1" s="10" t="s">
        <v>45</v>
      </c>
    </row>
    <row r="3" spans="1:11" x14ac:dyDescent="0.25">
      <c r="A3" t="s">
        <v>46</v>
      </c>
    </row>
    <row r="4" spans="1:11" x14ac:dyDescent="0.25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</row>
    <row r="5" spans="1:11" x14ac:dyDescent="0.25">
      <c r="A5" s="2" t="s">
        <v>11</v>
      </c>
      <c r="B5" s="2" t="s">
        <v>12</v>
      </c>
      <c r="C5" s="2" t="s">
        <v>13</v>
      </c>
      <c r="D5" s="2">
        <v>120</v>
      </c>
      <c r="E5" s="2">
        <v>18000000</v>
      </c>
      <c r="F5" s="2">
        <v>11500000</v>
      </c>
      <c r="G5" s="2">
        <f>E5-F5</f>
        <v>6500000</v>
      </c>
      <c r="H5" s="2">
        <f>G5/E5</f>
        <v>0.3611111111111111</v>
      </c>
      <c r="I5" s="2" t="str">
        <f ca="1">G5/$G$13</f>
        <v/>
      </c>
      <c r="J5" s="2" t="str">
        <f ca="1">I5</f>
        <v/>
      </c>
      <c r="K5" s="2" t="str">
        <f ca="1">IF(J5&lt;=0.8,"A",IF(J5&lt;=0.95,"B","C"))</f>
        <v/>
      </c>
    </row>
    <row r="6" spans="1:11" x14ac:dyDescent="0.25">
      <c r="A6" s="2" t="s">
        <v>14</v>
      </c>
      <c r="B6" s="2" t="s">
        <v>15</v>
      </c>
      <c r="C6" s="2" t="s">
        <v>16</v>
      </c>
      <c r="D6" s="2">
        <v>85</v>
      </c>
      <c r="E6" s="2">
        <v>9350000</v>
      </c>
      <c r="F6" s="2">
        <v>6200000</v>
      </c>
      <c r="G6" s="2">
        <f>E6-F6</f>
        <v>3150000</v>
      </c>
      <c r="H6" s="2">
        <f>G6/E6</f>
        <v>0.33689839572192515</v>
      </c>
      <c r="I6" s="2" t="str">
        <f ca="1">G6/$G$13</f>
        <v/>
      </c>
      <c r="J6" s="2" t="str">
        <f ca="1">J5+I6</f>
        <v/>
      </c>
      <c r="K6" s="2" t="str">
        <f ca="1">IF(J6&lt;=0.8,"A",IF(J6&lt;=0.95,"B","C"))</f>
        <v/>
      </c>
    </row>
    <row r="7" spans="1:11" x14ac:dyDescent="0.25">
      <c r="A7" s="2" t="s">
        <v>17</v>
      </c>
      <c r="B7" s="2" t="s">
        <v>18</v>
      </c>
      <c r="C7" s="2" t="s">
        <v>19</v>
      </c>
      <c r="D7" s="2">
        <v>140</v>
      </c>
      <c r="E7" s="2">
        <v>7800000</v>
      </c>
      <c r="F7" s="2">
        <v>5100000</v>
      </c>
      <c r="G7" s="2">
        <f>E7-F7</f>
        <v>2700000</v>
      </c>
      <c r="H7" s="2">
        <f>G7/E7</f>
        <v>0.34615384615384615</v>
      </c>
      <c r="I7" s="2" t="str">
        <f ca="1">G7/$G$13</f>
        <v/>
      </c>
      <c r="J7" s="2" t="str">
        <f ca="1">J6+I7</f>
        <v/>
      </c>
      <c r="K7" s="2" t="str">
        <f ca="1">IF(J7&lt;=0.8,"A",IF(J7&lt;=0.95,"B","C"))</f>
        <v/>
      </c>
    </row>
    <row r="10" spans="1:11" ht="45" x14ac:dyDescent="0.25">
      <c r="G10" t="s">
        <v>40</v>
      </c>
      <c r="H10" t="s">
        <v>41</v>
      </c>
      <c r="I10" s="1" t="s">
        <v>42</v>
      </c>
      <c r="J10" s="1" t="s">
        <v>43</v>
      </c>
      <c r="K10" t="s">
        <v>44</v>
      </c>
    </row>
    <row r="13" spans="1:11" x14ac:dyDescent="0.25">
      <c r="G13" t="str">
        <f ca="1">SUM(G5:G1003)</f>
        <v/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4D86B-382B-42D1-9348-43049661ABE5}">
  <dimension ref="A1:S20"/>
  <sheetViews>
    <sheetView workbookViewId="0">
      <selection activeCell="H19" sqref="H19"/>
    </sheetView>
  </sheetViews>
  <sheetFormatPr defaultRowHeight="15" x14ac:dyDescent="0.25"/>
  <cols>
    <col min="1" max="1" width="13.140625" customWidth="1"/>
    <col min="2" max="2" width="15.85546875" customWidth="1"/>
    <col min="3" max="3" width="17.5703125" customWidth="1"/>
    <col min="4" max="4" width="14.85546875" customWidth="1"/>
    <col min="5" max="5" width="18.5703125" customWidth="1"/>
    <col min="6" max="6" width="18" customWidth="1"/>
    <col min="7" max="7" width="17.42578125" customWidth="1"/>
    <col min="8" max="8" width="12.85546875" customWidth="1"/>
    <col min="15" max="15" width="18.28515625" customWidth="1"/>
    <col min="16" max="16" width="22.5703125" customWidth="1"/>
    <col min="17" max="17" width="13.42578125" customWidth="1"/>
    <col min="18" max="18" width="15.28515625" customWidth="1"/>
    <col min="19" max="19" width="15" customWidth="1"/>
  </cols>
  <sheetData>
    <row r="1" spans="1:19" ht="45" x14ac:dyDescent="0.25">
      <c r="A1" s="8" t="s">
        <v>0</v>
      </c>
      <c r="B1" s="8" t="s">
        <v>1</v>
      </c>
      <c r="C1" s="8" t="s">
        <v>4</v>
      </c>
      <c r="D1" s="8" t="s">
        <v>5</v>
      </c>
      <c r="E1" s="8" t="s">
        <v>6</v>
      </c>
      <c r="F1" s="8" t="s">
        <v>8</v>
      </c>
      <c r="G1" s="8" t="s">
        <v>57</v>
      </c>
      <c r="H1" s="8" t="s">
        <v>58</v>
      </c>
      <c r="I1" s="8" t="s">
        <v>59</v>
      </c>
      <c r="J1" s="8" t="s">
        <v>60</v>
      </c>
      <c r="K1" s="8" t="s">
        <v>61</v>
      </c>
      <c r="L1" s="8" t="s">
        <v>62</v>
      </c>
      <c r="M1" s="8" t="s">
        <v>63</v>
      </c>
      <c r="N1" s="8" t="s">
        <v>64</v>
      </c>
      <c r="O1" s="9" t="s">
        <v>102</v>
      </c>
      <c r="P1" s="9" t="s">
        <v>88</v>
      </c>
      <c r="Q1" s="9" t="s">
        <v>101</v>
      </c>
      <c r="R1" s="8" t="s">
        <v>66</v>
      </c>
      <c r="S1" s="8" t="s">
        <v>67</v>
      </c>
    </row>
    <row r="2" spans="1:19" x14ac:dyDescent="0.25">
      <c r="A2" s="2" t="s">
        <v>11</v>
      </c>
      <c r="B2" s="2" t="s">
        <v>12</v>
      </c>
      <c r="C2" s="2">
        <v>18000000</v>
      </c>
      <c r="D2" s="2">
        <v>11500000</v>
      </c>
      <c r="E2" s="2">
        <f>C2-D2</f>
        <v>6500000</v>
      </c>
      <c r="F2" s="2" t="e">
        <f>E2/$E$10</f>
        <v>#DIV/0!</v>
      </c>
      <c r="G2" s="2" t="e">
        <f>F2</f>
        <v>#DIV/0!</v>
      </c>
      <c r="H2" s="2" t="e">
        <f>IF(G2&lt;=0.8,"A",IF(G2&lt;=0.95,"B","C"))</f>
        <v>#DIV/0!</v>
      </c>
      <c r="I2" s="2">
        <v>120</v>
      </c>
      <c r="J2" s="2">
        <v>118</v>
      </c>
      <c r="K2" s="2">
        <v>125</v>
      </c>
      <c r="L2" s="2">
        <v>121</v>
      </c>
      <c r="M2" s="2">
        <v>119</v>
      </c>
      <c r="N2" s="2">
        <v>122</v>
      </c>
      <c r="O2" s="2">
        <f>AVERAGE(I2:N2)</f>
        <v>120.83333333333333</v>
      </c>
      <c r="P2" s="2" t="e">
        <f ca="1">_xludf.STDEV.P(I2:N2)</f>
        <v>#NAME?</v>
      </c>
      <c r="Q2" s="2" t="e">
        <f ca="1">P2/O2</f>
        <v>#NAME?</v>
      </c>
      <c r="R2" s="2" t="e">
        <f ca="1">IF(Q2&lt;=0.1,"X",IF(Q2&lt;=0.25,"Y","Z"))</f>
        <v>#NAME?</v>
      </c>
      <c r="S2" s="2" t="e">
        <f ca="1">H2&amp;R2</f>
        <v>#DIV/0!</v>
      </c>
    </row>
    <row r="3" spans="1:19" x14ac:dyDescent="0.25">
      <c r="A3" s="2" t="s">
        <v>14</v>
      </c>
      <c r="B3" s="2" t="s">
        <v>15</v>
      </c>
      <c r="C3" s="2">
        <v>9350000</v>
      </c>
      <c r="D3" s="2">
        <v>6200000</v>
      </c>
      <c r="E3" s="2">
        <f>C3-D3</f>
        <v>3150000</v>
      </c>
      <c r="F3" s="2" t="e">
        <f>E3/$E$10</f>
        <v>#DIV/0!</v>
      </c>
      <c r="G3" s="2" t="e">
        <f>G2+F3</f>
        <v>#DIV/0!</v>
      </c>
      <c r="H3" s="2" t="e">
        <f>IF(G3&lt;=0.8,"A",IF(G3&lt;=0.95,"B","C"))</f>
        <v>#DIV/0!</v>
      </c>
      <c r="I3" s="2">
        <v>80</v>
      </c>
      <c r="J3" s="2">
        <v>95</v>
      </c>
      <c r="K3" s="2">
        <v>75</v>
      </c>
      <c r="L3" s="2">
        <v>90</v>
      </c>
      <c r="M3" s="2">
        <v>85</v>
      </c>
      <c r="N3" s="2">
        <v>88</v>
      </c>
      <c r="O3" s="2">
        <f>AVERAGE(I3:N3)</f>
        <v>85.5</v>
      </c>
      <c r="P3" s="2" t="e">
        <f ca="1">_xludf.STDEV.P(I3:N3)</f>
        <v>#NAME?</v>
      </c>
      <c r="Q3" s="2" t="e">
        <f ca="1">P3/O3</f>
        <v>#NAME?</v>
      </c>
      <c r="R3" s="2" t="e">
        <f ca="1">IF(Q3&lt;=0.1,"X",IF(Q3&lt;=0.25,"Y","Z"))</f>
        <v>#NAME?</v>
      </c>
      <c r="S3" s="2" t="e">
        <f ca="1">H3&amp;R3</f>
        <v>#DIV/0!</v>
      </c>
    </row>
    <row r="4" spans="1:19" x14ac:dyDescent="0.25">
      <c r="A4" s="2" t="s">
        <v>17</v>
      </c>
      <c r="B4" s="2" t="s">
        <v>18</v>
      </c>
      <c r="C4" s="2">
        <v>7800000</v>
      </c>
      <c r="D4" s="2">
        <v>5100000</v>
      </c>
      <c r="E4" s="2">
        <f>C4-D4</f>
        <v>2700000</v>
      </c>
      <c r="F4" s="2" t="e">
        <f>E4/$E$10</f>
        <v>#DIV/0!</v>
      </c>
      <c r="G4" s="2" t="e">
        <f>G3+F4</f>
        <v>#DIV/0!</v>
      </c>
      <c r="H4" s="2" t="e">
        <f>IF(G4&lt;=0.8,"A",IF(G4&lt;=0.95,"B","C"))</f>
        <v>#DIV/0!</v>
      </c>
      <c r="I4" s="2">
        <v>40</v>
      </c>
      <c r="J4" s="2">
        <v>20</v>
      </c>
      <c r="K4" s="2">
        <v>60</v>
      </c>
      <c r="L4" s="2">
        <v>30</v>
      </c>
      <c r="M4" s="2">
        <v>55</v>
      </c>
      <c r="N4" s="2">
        <v>25</v>
      </c>
      <c r="O4" s="2">
        <f>AVERAGE(I4:N4)</f>
        <v>38.333333333333336</v>
      </c>
      <c r="P4" s="2" t="e">
        <f ca="1">_xludf.STDEV.P(I4:N4)</f>
        <v>#NAME?</v>
      </c>
      <c r="Q4" s="2" t="e">
        <f ca="1">P4/O4</f>
        <v>#NAME?</v>
      </c>
      <c r="R4" s="2" t="e">
        <f ca="1">IF(Q4&lt;=0.1,"X",IF(Q4&lt;=0.25,"Y","Z"))</f>
        <v>#NAME?</v>
      </c>
      <c r="S4" s="2" t="e">
        <f ca="1">H4&amp;R4</f>
        <v>#DIV/0!</v>
      </c>
    </row>
    <row r="8" spans="1:19" x14ac:dyDescent="0.25">
      <c r="A8" s="5" t="s">
        <v>87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</row>
    <row r="10" spans="1:19" x14ac:dyDescent="0.25">
      <c r="A10" t="s">
        <v>89</v>
      </c>
    </row>
    <row r="12" spans="1:19" x14ac:dyDescent="0.25">
      <c r="A12" t="s">
        <v>90</v>
      </c>
    </row>
    <row r="14" spans="1:19" x14ac:dyDescent="0.25">
      <c r="A14" t="s">
        <v>65</v>
      </c>
      <c r="B14" t="s">
        <v>2</v>
      </c>
      <c r="C14" t="s">
        <v>91</v>
      </c>
    </row>
    <row r="15" spans="1:19" x14ac:dyDescent="0.25">
      <c r="A15" t="s">
        <v>92</v>
      </c>
      <c r="B15" t="s">
        <v>76</v>
      </c>
      <c r="C15" t="s">
        <v>93</v>
      </c>
    </row>
    <row r="16" spans="1:19" x14ac:dyDescent="0.25">
      <c r="A16" t="s">
        <v>94</v>
      </c>
      <c r="B16" t="s">
        <v>95</v>
      </c>
      <c r="C16" t="s">
        <v>96</v>
      </c>
    </row>
    <row r="17" spans="1:19" x14ac:dyDescent="0.25">
      <c r="A17" t="s">
        <v>97</v>
      </c>
      <c r="B17" t="s">
        <v>80</v>
      </c>
      <c r="C17" t="s">
        <v>98</v>
      </c>
    </row>
    <row r="20" spans="1:19" ht="22.5" customHeight="1" x14ac:dyDescent="0.25">
      <c r="A20" s="6" t="s">
        <v>99</v>
      </c>
      <c r="B20" s="7" t="s">
        <v>100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</row>
  </sheetData>
  <mergeCells count="2">
    <mergeCell ref="A8:S8"/>
    <mergeCell ref="B20:S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360D5-5379-449A-99F8-AA82361C5289}">
  <dimension ref="A1:G9"/>
  <sheetViews>
    <sheetView workbookViewId="0">
      <selection activeCell="D8" sqref="D8"/>
    </sheetView>
  </sheetViews>
  <sheetFormatPr defaultRowHeight="15" x14ac:dyDescent="0.25"/>
  <cols>
    <col min="1" max="1" width="19" customWidth="1"/>
    <col min="2" max="2" width="23.7109375" customWidth="1"/>
    <col min="3" max="3" width="17.28515625" customWidth="1"/>
    <col min="5" max="5" width="14.42578125" customWidth="1"/>
    <col min="6" max="6" width="18.5703125" customWidth="1"/>
    <col min="7" max="7" width="17.7109375" customWidth="1"/>
  </cols>
  <sheetData>
    <row r="1" spans="1:7" x14ac:dyDescent="0.25">
      <c r="A1" s="8" t="s">
        <v>0</v>
      </c>
      <c r="B1" s="8" t="s">
        <v>1</v>
      </c>
      <c r="C1" s="8" t="s">
        <v>68</v>
      </c>
      <c r="D1" s="8" t="s">
        <v>69</v>
      </c>
      <c r="E1" s="8" t="s">
        <v>70</v>
      </c>
      <c r="F1" s="8" t="s">
        <v>71</v>
      </c>
      <c r="G1" s="8" t="s">
        <v>72</v>
      </c>
    </row>
    <row r="2" spans="1:7" x14ac:dyDescent="0.25">
      <c r="A2" s="2" t="s">
        <v>11</v>
      </c>
      <c r="B2" s="2" t="s">
        <v>12</v>
      </c>
      <c r="C2" s="2">
        <v>120</v>
      </c>
      <c r="D2" s="2">
        <v>3</v>
      </c>
      <c r="E2" s="2">
        <v>2</v>
      </c>
      <c r="F2" s="2">
        <v>2.5000000000000001E-2</v>
      </c>
      <c r="G2" s="2">
        <v>1.6666666666666666E-2</v>
      </c>
    </row>
    <row r="3" spans="1:7" x14ac:dyDescent="0.25">
      <c r="A3" s="2" t="s">
        <v>14</v>
      </c>
      <c r="B3" s="2" t="s">
        <v>15</v>
      </c>
      <c r="C3" s="2">
        <v>85</v>
      </c>
      <c r="D3" s="2">
        <v>5</v>
      </c>
      <c r="E3" s="2">
        <v>3</v>
      </c>
      <c r="F3" s="2">
        <v>5.8823529411764705E-2</v>
      </c>
      <c r="G3" s="2">
        <v>3.5294117647058823E-2</v>
      </c>
    </row>
    <row r="4" spans="1:7" x14ac:dyDescent="0.25">
      <c r="A4" s="2" t="s">
        <v>17</v>
      </c>
      <c r="B4" s="2" t="s">
        <v>18</v>
      </c>
      <c r="C4" s="2">
        <v>140</v>
      </c>
      <c r="D4" s="2">
        <v>8</v>
      </c>
      <c r="E4" s="2">
        <v>6</v>
      </c>
      <c r="F4" s="2">
        <v>5.7142857142857141E-2</v>
      </c>
      <c r="G4" s="2">
        <v>4.2857142857142858E-2</v>
      </c>
    </row>
    <row r="9" spans="1:7" x14ac:dyDescent="0.25">
      <c r="A9" s="5" t="s">
        <v>87</v>
      </c>
      <c r="B9" s="5"/>
      <c r="C9" s="5"/>
      <c r="D9" s="5"/>
      <c r="E9" s="5"/>
      <c r="F9" s="5"/>
      <c r="G9" s="5"/>
    </row>
  </sheetData>
  <mergeCells count="1">
    <mergeCell ref="A9:G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"/>
  <sheetViews>
    <sheetView workbookViewId="0">
      <selection activeCell="A4" sqref="A4"/>
    </sheetView>
  </sheetViews>
  <sheetFormatPr defaultRowHeight="15" x14ac:dyDescent="0.25"/>
  <cols>
    <col min="1" max="1" width="12" customWidth="1"/>
    <col min="2" max="2" width="11" customWidth="1"/>
    <col min="3" max="3" width="18" customWidth="1"/>
    <col min="4" max="4" width="12" customWidth="1"/>
    <col min="5" max="5" width="17" customWidth="1"/>
    <col min="6" max="6" width="19" customWidth="1"/>
    <col min="7" max="7" width="11" customWidth="1"/>
    <col min="8" max="8" width="13" customWidth="1"/>
    <col min="9" max="9" width="18.7109375" customWidth="1"/>
    <col min="10" max="11" width="18" customWidth="1"/>
    <col min="12" max="12" width="30" customWidth="1"/>
  </cols>
  <sheetData>
    <row r="1" spans="1:12" x14ac:dyDescent="0.25">
      <c r="A1" s="8" t="s">
        <v>20</v>
      </c>
      <c r="B1" s="8" t="s">
        <v>21</v>
      </c>
      <c r="C1" s="8" t="s">
        <v>22</v>
      </c>
      <c r="D1" s="8" t="s">
        <v>4</v>
      </c>
      <c r="E1" s="8" t="s">
        <v>5</v>
      </c>
      <c r="F1" s="8" t="s">
        <v>6</v>
      </c>
      <c r="G1" s="8" t="s">
        <v>7</v>
      </c>
      <c r="H1" s="8" t="s">
        <v>23</v>
      </c>
      <c r="I1" s="8" t="s">
        <v>24</v>
      </c>
      <c r="J1" s="8" t="s">
        <v>8</v>
      </c>
      <c r="K1" s="8" t="s">
        <v>9</v>
      </c>
      <c r="L1" s="8" t="s">
        <v>10</v>
      </c>
    </row>
    <row r="2" spans="1:12" x14ac:dyDescent="0.25">
      <c r="A2" s="2" t="s">
        <v>25</v>
      </c>
      <c r="B2" s="2" t="s">
        <v>26</v>
      </c>
      <c r="C2" s="2">
        <v>24</v>
      </c>
      <c r="D2" s="2">
        <v>35000000</v>
      </c>
      <c r="E2" s="2">
        <v>24000000</v>
      </c>
      <c r="F2" s="2">
        <v>11000000</v>
      </c>
      <c r="G2" s="2">
        <f>F2/D2</f>
        <v>0.31428571428571428</v>
      </c>
      <c r="H2" s="2">
        <v>2500000</v>
      </c>
      <c r="I2" s="2">
        <f>D2/C2</f>
        <v>1458333.3333333333</v>
      </c>
      <c r="J2" s="2" t="str">
        <f ca="1">F2/$F$10</f>
        <v/>
      </c>
      <c r="K2" s="2" t="str">
        <f ca="1">J2</f>
        <v/>
      </c>
      <c r="L2" s="2" t="str">
        <f ca="1">IF(K2&lt;=0.8,"A",IF(K2&lt;=0.95,"B","C"))</f>
        <v/>
      </c>
    </row>
    <row r="3" spans="1:12" x14ac:dyDescent="0.25">
      <c r="A3" s="2" t="s">
        <v>27</v>
      </c>
      <c r="B3" s="2" t="s">
        <v>28</v>
      </c>
      <c r="C3" s="2">
        <v>18</v>
      </c>
      <c r="D3" s="2">
        <v>17000000</v>
      </c>
      <c r="E3" s="2">
        <v>11200000</v>
      </c>
      <c r="F3" s="2">
        <v>5800000</v>
      </c>
      <c r="G3" s="2">
        <f>F3/D3</f>
        <v>0.3411764705882353</v>
      </c>
      <c r="H3" s="2">
        <v>800000</v>
      </c>
      <c r="I3" s="2">
        <f>D3/C3</f>
        <v>944444.4444444445</v>
      </c>
      <c r="J3" s="2" t="str">
        <f ca="1">F3/$F$10</f>
        <v/>
      </c>
      <c r="K3" s="2" t="str">
        <f ca="1">K2+J3</f>
        <v/>
      </c>
      <c r="L3" s="2" t="str">
        <f ca="1">IF(K3&lt;=0.8,"A",IF(K3&lt;=0.95,"B","C"))</f>
        <v/>
      </c>
    </row>
    <row r="4" spans="1:1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F5" t="s">
        <v>47</v>
      </c>
      <c r="G5" t="s">
        <v>48</v>
      </c>
      <c r="I5" t="s">
        <v>49</v>
      </c>
      <c r="J5" t="s">
        <v>50</v>
      </c>
      <c r="K5" t="s">
        <v>51</v>
      </c>
      <c r="L5" t="s">
        <v>54</v>
      </c>
    </row>
    <row r="6" spans="1:12" x14ac:dyDescent="0.25">
      <c r="K6" t="s">
        <v>52</v>
      </c>
    </row>
    <row r="7" spans="1:12" x14ac:dyDescent="0.25">
      <c r="K7" t="s">
        <v>53</v>
      </c>
    </row>
    <row r="10" spans="1:12" x14ac:dyDescent="0.25">
      <c r="F10" t="str">
        <f ca="1">SUM(F2:F1000)</f>
        <v/>
      </c>
    </row>
    <row r="11" spans="1:12" x14ac:dyDescent="0.25">
      <c r="A11" s="4" t="s">
        <v>55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4" spans="1:12" x14ac:dyDescent="0.25">
      <c r="A14" s="4" t="s">
        <v>56</v>
      </c>
      <c r="B14" s="4"/>
      <c r="C14" s="4"/>
      <c r="D14" s="4"/>
      <c r="E14" s="4"/>
      <c r="F14" s="4"/>
      <c r="G14" s="4"/>
      <c r="H14" s="4"/>
      <c r="I14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A10" sqref="A10"/>
    </sheetView>
  </sheetViews>
  <sheetFormatPr defaultRowHeight="15" x14ac:dyDescent="0.25"/>
  <cols>
    <col min="1" max="1" width="42.7109375" customWidth="1"/>
    <col min="2" max="2" width="44.85546875" customWidth="1"/>
  </cols>
  <sheetData>
    <row r="1" spans="1:2" x14ac:dyDescent="0.25">
      <c r="A1" s="2" t="s">
        <v>29</v>
      </c>
      <c r="B1" s="2" t="s">
        <v>30</v>
      </c>
    </row>
    <row r="2" spans="1:2" x14ac:dyDescent="0.25">
      <c r="A2" s="2" t="s">
        <v>31</v>
      </c>
      <c r="B2" s="2" t="s">
        <v>32</v>
      </c>
    </row>
    <row r="3" spans="1:2" x14ac:dyDescent="0.25">
      <c r="A3" s="2" t="s">
        <v>33</v>
      </c>
      <c r="B3" s="2" t="s">
        <v>32</v>
      </c>
    </row>
    <row r="4" spans="1:2" x14ac:dyDescent="0.25">
      <c r="A4" s="2" t="s">
        <v>34</v>
      </c>
      <c r="B4" s="2" t="s">
        <v>35</v>
      </c>
    </row>
    <row r="5" spans="1:2" x14ac:dyDescent="0.25">
      <c r="A5" s="2" t="s">
        <v>36</v>
      </c>
      <c r="B5" s="2" t="s">
        <v>37</v>
      </c>
    </row>
    <row r="6" spans="1:2" x14ac:dyDescent="0.25">
      <c r="A6" s="2" t="s">
        <v>38</v>
      </c>
      <c r="B6" s="2" t="s">
        <v>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EAC5D-7F77-44DD-A070-74B4E9C187F5}">
  <dimension ref="A1:G4"/>
  <sheetViews>
    <sheetView workbookViewId="0">
      <selection activeCell="D8" sqref="D8"/>
    </sheetView>
  </sheetViews>
  <sheetFormatPr defaultRowHeight="15" x14ac:dyDescent="0.25"/>
  <cols>
    <col min="1" max="1" width="16.42578125" customWidth="1"/>
    <col min="2" max="2" width="14" customWidth="1"/>
    <col min="3" max="3" width="11.85546875" customWidth="1"/>
    <col min="4" max="4" width="15.85546875" customWidth="1"/>
    <col min="5" max="5" width="12.42578125" customWidth="1"/>
    <col min="6" max="6" width="11.85546875" customWidth="1"/>
    <col min="7" max="7" width="17.42578125" customWidth="1"/>
  </cols>
  <sheetData>
    <row r="1" spans="1:7" x14ac:dyDescent="0.25">
      <c r="A1" s="8" t="s">
        <v>0</v>
      </c>
      <c r="B1" s="8" t="s">
        <v>58</v>
      </c>
      <c r="C1" s="8" t="s">
        <v>66</v>
      </c>
      <c r="D1" s="8" t="s">
        <v>67</v>
      </c>
      <c r="E1" s="8" t="s">
        <v>71</v>
      </c>
      <c r="F1" s="8" t="s">
        <v>73</v>
      </c>
      <c r="G1" s="8" t="s">
        <v>74</v>
      </c>
    </row>
    <row r="2" spans="1:7" x14ac:dyDescent="0.25">
      <c r="A2" s="2" t="s">
        <v>11</v>
      </c>
      <c r="B2" s="2" t="s">
        <v>75</v>
      </c>
      <c r="C2" s="2" t="s">
        <v>76</v>
      </c>
      <c r="D2" s="2" t="s">
        <v>77</v>
      </c>
      <c r="E2" s="2" t="s">
        <v>78</v>
      </c>
      <c r="F2" s="2" t="s">
        <v>79</v>
      </c>
      <c r="G2" s="2" t="s">
        <v>103</v>
      </c>
    </row>
    <row r="3" spans="1:7" x14ac:dyDescent="0.25">
      <c r="A3" s="2" t="s">
        <v>14</v>
      </c>
      <c r="B3" s="2" t="s">
        <v>75</v>
      </c>
      <c r="C3" s="2" t="s">
        <v>80</v>
      </c>
      <c r="D3" s="2" t="s">
        <v>81</v>
      </c>
      <c r="E3" s="2" t="s">
        <v>82</v>
      </c>
      <c r="F3" s="2" t="s">
        <v>83</v>
      </c>
      <c r="G3" s="2" t="s">
        <v>104</v>
      </c>
    </row>
    <row r="4" spans="1:7" x14ac:dyDescent="0.25">
      <c r="A4" s="2" t="s">
        <v>17</v>
      </c>
      <c r="B4" s="2" t="s">
        <v>84</v>
      </c>
      <c r="C4" s="2" t="s">
        <v>80</v>
      </c>
      <c r="D4" s="2" t="s">
        <v>85</v>
      </c>
      <c r="E4" s="2" t="s">
        <v>86</v>
      </c>
      <c r="F4" s="2" t="s">
        <v>82</v>
      </c>
      <c r="G4" s="2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ABC_Product</vt:lpstr>
      <vt:lpstr>ABC_XYZ_Prodact</vt:lpstr>
      <vt:lpstr>БРАК</vt:lpstr>
      <vt:lpstr>ABC_Clients</vt:lpstr>
      <vt:lpstr>Ower_Dashboard ABC+Clients</vt:lpstr>
      <vt:lpstr> Ower_Dashboard ABC+XYZ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Нураева Наталия Валерьевна</cp:lastModifiedBy>
  <dcterms:created xsi:type="dcterms:W3CDTF">2026-06-25T05:40:17Z</dcterms:created>
  <dcterms:modified xsi:type="dcterms:W3CDTF">2026-06-25T07:36:08Z</dcterms:modified>
</cp:coreProperties>
</file>